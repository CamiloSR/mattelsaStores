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amilosr/Documents/Coding/Mattelsa/"/>
    </mc:Choice>
  </mc:AlternateContent>
  <xr:revisionPtr revIDLastSave="0" documentId="13_ncr:1_{2D59B92A-8DA7-2046-A590-7A149EE57DA0}" xr6:coauthVersionLast="44" xr6:coauthVersionMax="44" xr10:uidLastSave="{00000000-0000-0000-0000-000000000000}"/>
  <bookViews>
    <workbookView xWindow="80" yWindow="460" windowWidth="25440" windowHeight="15000" xr2:uid="{CA09380D-529B-D44B-A563-F824E343190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2" l="1"/>
  <c r="B3" i="2"/>
  <c r="C3" i="2" s="1"/>
  <c r="A4" i="2"/>
  <c r="B4" i="2"/>
  <c r="C4" i="2" s="1"/>
  <c r="A5" i="2"/>
  <c r="B5" i="2"/>
  <c r="C5" i="2" s="1"/>
  <c r="A6" i="2"/>
  <c r="B6" i="2"/>
  <c r="C6" i="2" s="1"/>
  <c r="A7" i="2"/>
  <c r="B7" i="2"/>
  <c r="C7" i="2" s="1"/>
  <c r="A8" i="2"/>
  <c r="B8" i="2"/>
  <c r="C8" i="2" s="1"/>
  <c r="A9" i="2"/>
  <c r="B9" i="2"/>
  <c r="C9" i="2" s="1"/>
  <c r="A10" i="2"/>
  <c r="B10" i="2"/>
  <c r="C10" i="2" s="1"/>
  <c r="A11" i="2"/>
  <c r="B11" i="2"/>
  <c r="C11" i="2" s="1"/>
  <c r="A12" i="2"/>
  <c r="B12" i="2"/>
  <c r="C12" i="2" s="1"/>
  <c r="A13" i="2"/>
  <c r="B13" i="2"/>
  <c r="C13" i="2" s="1"/>
  <c r="A14" i="2"/>
  <c r="B14" i="2"/>
  <c r="C14" i="2" s="1"/>
  <c r="A15" i="2"/>
  <c r="B15" i="2"/>
  <c r="C15" i="2" s="1"/>
  <c r="A16" i="2"/>
  <c r="B16" i="2"/>
  <c r="C16" i="2" s="1"/>
  <c r="A17" i="2"/>
  <c r="B17" i="2"/>
  <c r="C17" i="2" s="1"/>
  <c r="A18" i="2"/>
  <c r="B18" i="2"/>
  <c r="C18" i="2" s="1"/>
  <c r="A19" i="2"/>
  <c r="B19" i="2"/>
  <c r="C19" i="2" s="1"/>
  <c r="A20" i="2"/>
  <c r="B20" i="2"/>
  <c r="C20" i="2" s="1"/>
  <c r="A21" i="2"/>
  <c r="B21" i="2"/>
  <c r="C21" i="2" s="1"/>
  <c r="A22" i="2"/>
  <c r="B22" i="2"/>
  <c r="C22" i="2" s="1"/>
  <c r="A23" i="2"/>
  <c r="B23" i="2"/>
  <c r="C23" i="2" s="1"/>
  <c r="A24" i="2"/>
  <c r="B24" i="2"/>
  <c r="C24" i="2" s="1"/>
  <c r="A25" i="2"/>
  <c r="B25" i="2"/>
  <c r="C25" i="2" s="1"/>
  <c r="A26" i="2"/>
  <c r="B26" i="2"/>
  <c r="C26" i="2" s="1"/>
  <c r="A27" i="2"/>
  <c r="B27" i="2"/>
  <c r="C27" i="2" s="1"/>
  <c r="A28" i="2"/>
  <c r="B28" i="2"/>
  <c r="C28" i="2" s="1"/>
  <c r="A29" i="2"/>
  <c r="B29" i="2"/>
  <c r="C29" i="2" s="1"/>
  <c r="A30" i="2"/>
  <c r="B30" i="2"/>
  <c r="C30" i="2" s="1"/>
  <c r="A31" i="2"/>
  <c r="B31" i="2"/>
  <c r="C31" i="2" s="1"/>
  <c r="A32" i="2"/>
  <c r="B32" i="2"/>
  <c r="C32" i="2" s="1"/>
  <c r="A33" i="2"/>
  <c r="B33" i="2"/>
  <c r="C33" i="2" s="1"/>
  <c r="A34" i="2"/>
  <c r="B34" i="2"/>
  <c r="C34" i="2" s="1"/>
  <c r="A35" i="2"/>
  <c r="B35" i="2"/>
  <c r="C35" i="2" s="1"/>
  <c r="A36" i="2"/>
  <c r="B36" i="2"/>
  <c r="C36" i="2" s="1"/>
  <c r="A37" i="2"/>
  <c r="B37" i="2"/>
  <c r="C37" i="2" s="1"/>
  <c r="A38" i="2"/>
  <c r="B38" i="2"/>
  <c r="C38" i="2" s="1"/>
  <c r="A39" i="2"/>
  <c r="B39" i="2"/>
  <c r="C39" i="2" s="1"/>
  <c r="A40" i="2"/>
  <c r="B40" i="2"/>
  <c r="C40" i="2" s="1"/>
  <c r="A41" i="2"/>
  <c r="B41" i="2"/>
  <c r="C41" i="2" s="1"/>
  <c r="A42" i="2"/>
  <c r="B42" i="2"/>
  <c r="C42" i="2" s="1"/>
  <c r="A43" i="2"/>
  <c r="B43" i="2"/>
  <c r="C43" i="2" s="1"/>
  <c r="A44" i="2"/>
  <c r="B44" i="2"/>
  <c r="C44" i="2" s="1"/>
  <c r="A45" i="2"/>
  <c r="B45" i="2"/>
  <c r="C45" i="2" s="1"/>
  <c r="A46" i="2"/>
  <c r="B46" i="2"/>
  <c r="C46" i="2" s="1"/>
  <c r="A47" i="2"/>
  <c r="B47" i="2"/>
  <c r="C47" i="2" s="1"/>
  <c r="A48" i="2"/>
  <c r="B48" i="2"/>
  <c r="C48" i="2" s="1"/>
  <c r="A49" i="2"/>
  <c r="B49" i="2"/>
  <c r="C49" i="2" s="1"/>
  <c r="A50" i="2"/>
  <c r="B50" i="2"/>
  <c r="C50" i="2" s="1"/>
  <c r="A51" i="2"/>
  <c r="B51" i="2"/>
  <c r="C51" i="2" s="1"/>
  <c r="A52" i="2"/>
  <c r="B52" i="2"/>
  <c r="C52" i="2" s="1"/>
  <c r="A53" i="2"/>
  <c r="B53" i="2"/>
  <c r="C53" i="2" s="1"/>
  <c r="A54" i="2"/>
  <c r="B54" i="2"/>
  <c r="C54" i="2" s="1"/>
  <c r="A55" i="2"/>
  <c r="B55" i="2"/>
  <c r="C55" i="2" s="1"/>
  <c r="A2" i="2"/>
  <c r="B2" i="2"/>
  <c r="C2" i="2" s="1"/>
  <c r="E2" i="2" l="1"/>
  <c r="G2" i="2"/>
  <c r="E3" i="2"/>
  <c r="G3" i="2"/>
  <c r="E4" i="2"/>
  <c r="G4" i="2"/>
  <c r="E5" i="2"/>
  <c r="G5" i="2"/>
  <c r="E6" i="2"/>
  <c r="G6" i="2"/>
  <c r="E7" i="2"/>
  <c r="G7" i="2"/>
  <c r="E8" i="2"/>
  <c r="G8" i="2"/>
  <c r="E9" i="2"/>
  <c r="G9" i="2"/>
  <c r="E10" i="2"/>
  <c r="G10" i="2"/>
  <c r="E11" i="2"/>
  <c r="G11" i="2"/>
  <c r="E12" i="2"/>
  <c r="G12" i="2"/>
  <c r="E13" i="2"/>
  <c r="G13" i="2"/>
  <c r="E14" i="2"/>
  <c r="G14" i="2"/>
  <c r="E15" i="2"/>
  <c r="G15" i="2"/>
  <c r="E16" i="2"/>
  <c r="G16" i="2"/>
  <c r="E17" i="2"/>
  <c r="G17" i="2"/>
  <c r="E18" i="2"/>
  <c r="G18" i="2"/>
  <c r="E19" i="2"/>
  <c r="G19" i="2"/>
  <c r="E20" i="2"/>
  <c r="G20" i="2"/>
  <c r="E21" i="2"/>
  <c r="G21" i="2"/>
  <c r="E22" i="2"/>
  <c r="G22" i="2"/>
  <c r="E23" i="2"/>
  <c r="G23" i="2"/>
  <c r="E24" i="2"/>
  <c r="G24" i="2"/>
  <c r="E25" i="2"/>
  <c r="G25" i="2"/>
  <c r="E26" i="2"/>
  <c r="G26" i="2"/>
  <c r="E27" i="2"/>
  <c r="G27" i="2"/>
  <c r="E28" i="2"/>
  <c r="G28" i="2"/>
  <c r="E29" i="2"/>
  <c r="G29" i="2"/>
  <c r="E30" i="2"/>
  <c r="G30" i="2"/>
  <c r="E31" i="2"/>
  <c r="G31" i="2"/>
  <c r="E32" i="2"/>
  <c r="G32" i="2"/>
  <c r="E33" i="2"/>
  <c r="G33" i="2"/>
  <c r="E34" i="2"/>
  <c r="G34" i="2"/>
  <c r="E35" i="2"/>
  <c r="G35" i="2"/>
  <c r="E36" i="2"/>
  <c r="G36" i="2"/>
  <c r="E37" i="2"/>
  <c r="G37" i="2"/>
  <c r="E38" i="2"/>
  <c r="G38" i="2"/>
  <c r="E39" i="2"/>
  <c r="G39" i="2"/>
  <c r="E40" i="2"/>
  <c r="G40" i="2"/>
  <c r="E41" i="2"/>
  <c r="G41" i="2"/>
  <c r="E42" i="2"/>
  <c r="G42" i="2"/>
  <c r="E43" i="2"/>
  <c r="G43" i="2"/>
  <c r="E44" i="2"/>
  <c r="G44" i="2"/>
  <c r="E45" i="2"/>
  <c r="G45" i="2"/>
  <c r="E46" i="2"/>
  <c r="G46" i="2"/>
  <c r="E47" i="2"/>
  <c r="G47" i="2"/>
  <c r="E48" i="2"/>
  <c r="G48" i="2"/>
  <c r="E49" i="2"/>
  <c r="G49" i="2"/>
  <c r="E50" i="2"/>
  <c r="G50" i="2"/>
  <c r="E51" i="2"/>
  <c r="G51" i="2"/>
  <c r="E52" i="2"/>
  <c r="G52" i="2"/>
  <c r="E53" i="2"/>
  <c r="G53" i="2"/>
  <c r="E54" i="2"/>
  <c r="G54" i="2"/>
  <c r="E55" i="2"/>
  <c r="G55" i="2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2" i="1"/>
</calcChain>
</file>

<file path=xl/sharedStrings.xml><?xml version="1.0" encoding="utf-8"?>
<sst xmlns="http://schemas.openxmlformats.org/spreadsheetml/2006/main" count="1657" uniqueCount="353">
  <si>
    <t>nombreTienda</t>
  </si>
  <si>
    <t>cLunes</t>
  </si>
  <si>
    <t>cMiercoles</t>
  </si>
  <si>
    <t>aLunes</t>
  </si>
  <si>
    <t>aMartes</t>
  </si>
  <si>
    <t>aMiercoles</t>
  </si>
  <si>
    <t>aJueves</t>
  </si>
  <si>
    <t>aViernes</t>
  </si>
  <si>
    <t>cJueves</t>
  </si>
  <si>
    <t>cViernes</t>
  </si>
  <si>
    <t>aSabado</t>
  </si>
  <si>
    <t>cSabado</t>
  </si>
  <si>
    <t>aDomingo</t>
  </si>
  <si>
    <t>cDomingo</t>
  </si>
  <si>
    <t>pbx</t>
  </si>
  <si>
    <t>whatsapp</t>
  </si>
  <si>
    <t>idTienda</t>
  </si>
  <si>
    <t>Texto</t>
  </si>
  <si>
    <t>count</t>
  </si>
  <si>
    <t>direccion</t>
  </si>
  <si>
    <t>idCiudad</t>
  </si>
  <si>
    <t>latitude</t>
  </si>
  <si>
    <t>longitude</t>
  </si>
  <si>
    <t>Mas Amor Por Favor</t>
  </si>
  <si>
    <t>01 8000 41 37 57</t>
  </si>
  <si>
    <t>Colombia</t>
  </si>
  <si>
    <t>Mattelsa</t>
  </si>
  <si>
    <t>GMT-05:00 America/Bogota</t>
  </si>
  <si>
    <t>zonaHoraria</t>
  </si>
  <si>
    <t>Armenia</t>
  </si>
  <si>
    <t>nombreCiudad</t>
  </si>
  <si>
    <t>Barrancabermeja</t>
  </si>
  <si>
    <t>Barranquilla</t>
  </si>
  <si>
    <t>Bogotá</t>
  </si>
  <si>
    <t>Bucaramanga</t>
  </si>
  <si>
    <t>Buenaventura</t>
  </si>
  <si>
    <t>Cali</t>
  </si>
  <si>
    <t>Cartagena</t>
  </si>
  <si>
    <t>Cúcuta</t>
  </si>
  <si>
    <t>Florencia</t>
  </si>
  <si>
    <t>Ibagué</t>
  </si>
  <si>
    <t>Manizales</t>
  </si>
  <si>
    <t>Más Tiendas</t>
  </si>
  <si>
    <t>Medellín</t>
  </si>
  <si>
    <t>Montería</t>
  </si>
  <si>
    <t>Neiva</t>
  </si>
  <si>
    <t>Pasto</t>
  </si>
  <si>
    <t>Pereira</t>
  </si>
  <si>
    <t>Popayán</t>
  </si>
  <si>
    <t>Quibdó</t>
  </si>
  <si>
    <t>Rionegro</t>
  </si>
  <si>
    <t>San Andrés</t>
  </si>
  <si>
    <t>Santa Marta</t>
  </si>
  <si>
    <t>Tuluá</t>
  </si>
  <si>
    <t>Tunja</t>
  </si>
  <si>
    <t>Valledupar</t>
  </si>
  <si>
    <t>Villavicencio</t>
  </si>
  <si>
    <t>Yopal</t>
  </si>
  <si>
    <t>Prado</t>
  </si>
  <si>
    <t>Soledad</t>
  </si>
  <si>
    <t>Chapinero</t>
  </si>
  <si>
    <t>Galerías</t>
  </si>
  <si>
    <t>Cañaveral</t>
  </si>
  <si>
    <t>La Aurora</t>
  </si>
  <si>
    <t>La Flora</t>
  </si>
  <si>
    <t>Limonar</t>
  </si>
  <si>
    <t xml:space="preserve">Ciudad Jardín </t>
  </si>
  <si>
    <t>Castellana</t>
  </si>
  <si>
    <t>Apartadó</t>
  </si>
  <si>
    <t>Cartago</t>
  </si>
  <si>
    <t>San Gil</t>
  </si>
  <si>
    <t>Santa Rosa de Cabal</t>
  </si>
  <si>
    <t>Socorro</t>
  </si>
  <si>
    <t>Ocaña</t>
  </si>
  <si>
    <t>Palmira</t>
  </si>
  <si>
    <t>Garzón</t>
  </si>
  <si>
    <t>Pitalito</t>
  </si>
  <si>
    <t>Fusagasugá</t>
  </si>
  <si>
    <t>Caucasia</t>
  </si>
  <si>
    <t>Pamplona</t>
  </si>
  <si>
    <t>La Dorada</t>
  </si>
  <si>
    <t>Caldas</t>
  </si>
  <si>
    <t>Girardot</t>
  </si>
  <si>
    <t>Yarumal</t>
  </si>
  <si>
    <t>Barbosa - Santander</t>
  </si>
  <si>
    <t>Laureles</t>
  </si>
  <si>
    <t>Sabaneta</t>
  </si>
  <si>
    <t>Ruta N</t>
  </si>
  <si>
    <t>Florida</t>
  </si>
  <si>
    <t>Tesoro</t>
  </si>
  <si>
    <t>Poblado</t>
  </si>
  <si>
    <t>Bello</t>
  </si>
  <si>
    <t>url</t>
  </si>
  <si>
    <t>Calle 23 norte # 15 - 21</t>
  </si>
  <si>
    <t>-75.655309</t>
  </si>
  <si>
    <t>4.560869</t>
  </si>
  <si>
    <t>-73.854651</t>
  </si>
  <si>
    <t>7.062702</t>
  </si>
  <si>
    <t>10.998802</t>
  </si>
  <si>
    <t>-74.807597</t>
  </si>
  <si>
    <t>-74.779317</t>
  </si>
  <si>
    <t>10.926995</t>
  </si>
  <si>
    <t>Carrera 24 # 52b-53</t>
  </si>
  <si>
    <t>Calle 75 # 49 - 51</t>
  </si>
  <si>
    <t>Cra 31 # 32 - 45</t>
  </si>
  <si>
    <t>Calle 51 # 22 – 21</t>
  </si>
  <si>
    <t>Calle 54 # 7 - 33 (1er piso)</t>
  </si>
  <si>
    <t>CC Gran Plaza del Sol - Carrera 32#30-15 Local S–002 (sótano 1)</t>
  </si>
  <si>
    <t>Centro Comercial Acqua Carrera 9 #57-15 4 piso Local: 407</t>
  </si>
  <si>
    <t>Carrera 11A # 19-03</t>
  </si>
  <si>
    <t>Avenida 0a # 5 - 38</t>
  </si>
  <si>
    <t>Av. Pedro de Heredia #31A-09</t>
  </si>
  <si>
    <t>Calle 47 norte #4bn-75</t>
  </si>
  <si>
    <t>Cra 100 # 15A – 61 Cuarto piso Local 400 (CC Aventura Plaza)</t>
  </si>
  <si>
    <t>Carrera 5 #1-27</t>
  </si>
  <si>
    <t>Cra 63 # 6a - 84 segundo piso</t>
  </si>
  <si>
    <t>Calle 13 # 12 – 30 (local 3)</t>
  </si>
  <si>
    <t>Cra 9 # 14 – 82 local:04</t>
  </si>
  <si>
    <t>Calle 50A # 25 - 44</t>
  </si>
  <si>
    <t>Calle 99 # 104 - 28</t>
  </si>
  <si>
    <t>Carrera 4 # 15-94 local 2</t>
  </si>
  <si>
    <t>Carrera 15 # 12 - 44 </t>
  </si>
  <si>
    <t>Calle 16B #12 - 45</t>
  </si>
  <si>
    <t>Calle 11 # 2 - 10 local 101</t>
  </si>
  <si>
    <t>Calle 7 # 6-07</t>
  </si>
  <si>
    <t>Carrera 30 # 31-47</t>
  </si>
  <si>
    <t>Calle 11 # 13-52 local 107</t>
  </si>
  <si>
    <t>Carrera 8 # 13-44</t>
  </si>
  <si>
    <t>Calle 22 # 19 - 40 local 103</t>
  </si>
  <si>
    <t>Calle 19 # 12-75</t>
  </si>
  <si>
    <t>Calle 127 Sur # 50 - 45</t>
  </si>
  <si>
    <t>Calle 10 #2-80</t>
  </si>
  <si>
    <t>Carrera 5 # 8b - 09</t>
  </si>
  <si>
    <t>Carrera 22 b # 11-15</t>
  </si>
  <si>
    <t>Diagonal 51a #43-53 niquía</t>
  </si>
  <si>
    <t>Calle 16 # 45 - 78</t>
  </si>
  <si>
    <t>Centro Comercial El Tesoro Cra 25a # 1A Sur - 45 Sótano 2</t>
  </si>
  <si>
    <t>Centro comercial Florida: calle 71 # 65-150 local 3184 etapa 1</t>
  </si>
  <si>
    <t>Centro Comercial Aventura Carrera 55 # 65-90 Local 102.</t>
  </si>
  <si>
    <t>Calle 52 Sur # 44 – 39</t>
  </si>
  <si>
    <t>Circular 2 N° 73 - 74</t>
  </si>
  <si>
    <t>Centro Comercial San Nicolás Calle 43 No. 54 – 139 Local 1509</t>
  </si>
  <si>
    <t>Av Aeropuerto cc el Caraño local 22</t>
  </si>
  <si>
    <t>Cra 7 # 3 – 22 C.C Plaza Colonial Local 101</t>
  </si>
  <si>
    <t>Calle 24 #13 - 59</t>
  </si>
  <si>
    <t>CRA 34 # 15 - 36 EDIFICIO EMANUEL BARRIO SAN IGNACIO</t>
  </si>
  <si>
    <t>Carrera 8 # 14 – 48. Barrio La Toma</t>
  </si>
  <si>
    <t>Calle 29 # 9 - 22</t>
  </si>
  <si>
    <t>Carrera 25 # 14 - 36</t>
  </si>
  <si>
    <t>Calle 32 # 34 - 68</t>
  </si>
  <si>
    <t>CR 19 con CL 16 C - Glorieta los Gallos</t>
  </si>
  <si>
    <t>Avenida Villa Olímpica 1A-74 local #4 </t>
  </si>
  <si>
    <t>Cra 27 # 30 - 16 piso 2</t>
  </si>
  <si>
    <t>Cra 5 # 26B - 07</t>
  </si>
  <si>
    <t>Avenida 20 de Julio número 1-75, Edificio Cine Hollywood</t>
  </si>
  <si>
    <t>4.640050</t>
  </si>
  <si>
    <t>-74.063106</t>
  </si>
  <si>
    <t>4.639534</t>
  </si>
  <si>
    <t>-74.073383</t>
  </si>
  <si>
    <t>6.159823</t>
  </si>
  <si>
    <t>-75.605460</t>
  </si>
  <si>
    <t>Carrera 24 # 30 A – 08 Cañaveral Floridablanca</t>
  </si>
  <si>
    <t>7.068836</t>
  </si>
  <si>
    <t>-73.106981</t>
  </si>
  <si>
    <t>7.126017</t>
  </si>
  <si>
    <t>-73.114548</t>
  </si>
  <si>
    <t>3.887216</t>
  </si>
  <si>
    <t>-77.076978</t>
  </si>
  <si>
    <t>3.367960</t>
  </si>
  <si>
    <t>-76.529994</t>
  </si>
  <si>
    <t>3.483485</t>
  </si>
  <si>
    <t>-76.522831</t>
  </si>
  <si>
    <t>3.401846</t>
  </si>
  <si>
    <t>-76.544435</t>
  </si>
  <si>
    <t>nombrePais</t>
  </si>
  <si>
    <t>nombreMarca</t>
  </si>
  <si>
    <t>8:00 AM</t>
  </si>
  <si>
    <t>7:00 PM</t>
  </si>
  <si>
    <t>10.394532</t>
  </si>
  <si>
    <t>-75.485052</t>
  </si>
  <si>
    <t>7.892443</t>
  </si>
  <si>
    <t>-72.500067</t>
  </si>
  <si>
    <t>1.618866</t>
  </si>
  <si>
    <t>-75.614301</t>
  </si>
  <si>
    <t>4.441102</t>
  </si>
  <si>
    <t>-75.204625</t>
  </si>
  <si>
    <t>5.062282</t>
  </si>
  <si>
    <t>-75.498346</t>
  </si>
  <si>
    <t>7.884066</t>
  </si>
  <si>
    <t>-76.635167</t>
  </si>
  <si>
    <t>4.750160</t>
  </si>
  <si>
    <t>-75.917587</t>
  </si>
  <si>
    <t>6.556402</t>
  </si>
  <si>
    <t>-73.134951</t>
  </si>
  <si>
    <t>4.866097</t>
  </si>
  <si>
    <t>-75.619433</t>
  </si>
  <si>
    <t>6.468686</t>
  </si>
  <si>
    <t>-73.262242</t>
  </si>
  <si>
    <t>8.236418</t>
  </si>
  <si>
    <t>-73.352823</t>
  </si>
  <si>
    <t>3.528512</t>
  </si>
  <si>
    <t>-76.300542</t>
  </si>
  <si>
    <t>2.195657</t>
  </si>
  <si>
    <t>-75.626445</t>
  </si>
  <si>
    <t>1.853804</t>
  </si>
  <si>
    <t>-76.042232</t>
  </si>
  <si>
    <t>4.336923</t>
  </si>
  <si>
    <t>-74.366314</t>
  </si>
  <si>
    <t>7.981777</t>
  </si>
  <si>
    <t>-75.203920</t>
  </si>
  <si>
    <t>7.373771</t>
  </si>
  <si>
    <t>-72.650238</t>
  </si>
  <si>
    <t>5.450480</t>
  </si>
  <si>
    <t>-74.662250</t>
  </si>
  <si>
    <t>6.093747</t>
  </si>
  <si>
    <t>-75.636563</t>
  </si>
  <si>
    <t>4.299024</t>
  </si>
  <si>
    <t>-74.807488</t>
  </si>
  <si>
    <t>6.964327</t>
  </si>
  <si>
    <t>-75.418537</t>
  </si>
  <si>
    <t>5.933100</t>
  </si>
  <si>
    <t>-73.614130</t>
  </si>
  <si>
    <t>6.244067</t>
  </si>
  <si>
    <t>-75.592062</t>
  </si>
  <si>
    <t>6.263763</t>
  </si>
  <si>
    <t>-75.567500</t>
  </si>
  <si>
    <t>6.270807</t>
  </si>
  <si>
    <t>-75.577613</t>
  </si>
  <si>
    <t>6.197481</t>
  </si>
  <si>
    <t>-75.559130</t>
  </si>
  <si>
    <t>6.217133</t>
  </si>
  <si>
    <t>-75.574105</t>
  </si>
  <si>
    <t>6.336879</t>
  </si>
  <si>
    <t>-75.550628</t>
  </si>
  <si>
    <t>8.753214</t>
  </si>
  <si>
    <t>-75.882263</t>
  </si>
  <si>
    <t>2.933369</t>
  </si>
  <si>
    <t>-75.286607</t>
  </si>
  <si>
    <t>1.219368</t>
  </si>
  <si>
    <t>-77.285764</t>
  </si>
  <si>
    <t>4.809240</t>
  </si>
  <si>
    <t>-75.699031</t>
  </si>
  <si>
    <t>2.443151</t>
  </si>
  <si>
    <t>-76.606406</t>
  </si>
  <si>
    <t>5.689957</t>
  </si>
  <si>
    <t>-76.644172</t>
  </si>
  <si>
    <t>6.147103</t>
  </si>
  <si>
    <t>-75.378316</t>
  </si>
  <si>
    <t>12.585193</t>
  </si>
  <si>
    <t>-81.695251</t>
  </si>
  <si>
    <t>11.235685</t>
  </si>
  <si>
    <t>-74.209941</t>
  </si>
  <si>
    <t>4.081360</t>
  </si>
  <si>
    <t>-76.196822</t>
  </si>
  <si>
    <t>5.542413</t>
  </si>
  <si>
    <t>-73.350969</t>
  </si>
  <si>
    <t>10.466875</t>
  </si>
  <si>
    <t>-73.256265</t>
  </si>
  <si>
    <t>4.144018</t>
  </si>
  <si>
    <t>-73.635885</t>
  </si>
  <si>
    <t>5.345789</t>
  </si>
  <si>
    <t>-72.393285</t>
  </si>
  <si>
    <t>aMartes2</t>
  </si>
  <si>
    <t xml:space="preserve">
/*   1   ----------------------------------------------------------------------------------------------------------------------*/
{
     "nombrePais":"Colombia",
     "nombreCiudad":"Armenia",
     "citylist":"1",
     "storeId":"3",
     "storeName":"Armenia",
     "whatsApp":"3005071000",
     "pbx":"01 8000 41 37 57",
     "nombreMarca":"Mattelsa",
     "tiendaAbierta":" true",
     "texto":"Mas Amor Por Favor",
     "coordinates": {
         "latitude":4.560869,
         "longitude":-75.655309
     },
     "direcciones":"Calle 23 norte # 15 - 21",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</si>
  <si>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2   ----------------------------------------------------------------------------------------------------------------------*/
{
     "nombrePais":"Colombia",
     "nombreCiudad":"Barrancabermeja",
     "citylist":"2",
     "storeId":"40",
     "storeName":"Barrancabermeja",
     "whatsApp":"3005071000",
     "pbx":"01 8000 41 37 57",
     "nombreMarca":"Mattelsa",
     "tiendaAbierta":" true",
     "texto":"Mas Amor Por Favor",
     "coordinates": {
         "latitude":7.062702,
         "longitude":-73.854651
     },
     "direcciones":"Carrera 24 # 52b-53",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</si>
  <si>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3   ----------------------------------------------------------------------------------------------------------------------*/
{
     "nombrePais":"Colombia",
     "nombreCiudad":"Barranquilla",
     "citylist":"3",
     "storeId":"4",
     "storeName":"Prado",
     "whatsApp":"3005071000",
     "pbx":"01 8000 41 37 57",
     "nombreMarca":"Mattelsa",
     "tiendaAbierta":" true",
     "texto":"Mas Amor Por Favor",
     "coordinates": {
         "latitude":10.998802,
         "longitude":-74.807597
     },
     "direcciones":"Calle 75 # 49 - 51",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</si>
  <si>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4   ----------------------------------------------------------------------------------------------------------------------*/
{
     "nombrePais":"Colombia",
     "nombreCiudad":"Barranquilla",
     "citylist":"3",
     "storeId":"68",
     "storeName":"Soledad",
     "whatsApp":"3005071000",
     "pbx":"01 8000 41 37 57",
     "nombreMarca":"Mattelsa",
     "tiendaAbierta":" true",
     "texto":"Mas Amor Por Favor",
     "coordinates": {
         "latitude":10.926995,
         "longitude":-74.779317
     },
     "direcciones":"CC Gran Plaza del Sol - Carrera 32#30-15 Local S–002 (sótano 1)",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</si>
  <si>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5   ----------------------------------------------------------------------------------------------------------------------*/
{
     "nombrePais":"Colombia",
     "nombreCiudad":"Bogotá",
     "citylist":"4",
     "storeId":"8",
     "storeName":"Chapinero",
     "whatsApp":"3005071000",
     "pbx":"01 8000 41 37 57",
     "nombreMarca":"Mattelsa",
     "tiendaAbierta":" true",
     "texto":"Mas Amor Por Favor",
     "coordinates": {
         "latitude":4.640050,
         "longitude":-74.063106
     },
     "direcciones":"Calle 54 # 7 - 33 (1er piso)",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</si>
  <si>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6   ----------------------------------------------------------------------------------------------------------------------*/
{
     "nombrePais":"Colombia",
     "nombreCiudad":"Bogotá",
     "citylist":"4",
     "storeId":"12",
     "storeName":"Galerías",
     "whatsApp":"3005071000",
     "pbx":"01 8000 41 37 57",
     "nombreMarca":"Mattelsa",
     "tiendaAbierta":" true",
     "texto":"Mas Amor Por Favor",
     "coordinates": {
         "latitude":4.639534,
         "longitude":-74.073383
     },
     "direcciones":"Calle 51 # 22 – 21",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</si>
  <si>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7   ----------------------------------------------------------------------------------------------------------------------*/
{
     "nombrePais":"Colombia",
     "nombreCiudad":"Bucaramanga",
     "citylist":"5",
     "storeId":"73",
     "storeName":"Cañaveral",
     "whatsApp":"3005071000",
     "pbx":"01 8000 41 37 57",
     "nombreMarca":"Mattelsa",
     "tiendaAbierta":" true",
     "texto":"Mas Amor Por Favor",
     "coordinates": {
         "latitude":7.068836,
         "longitude":-73.106981
     },
     "direcciones":"Carrera 24 # 30 A – 08 Cañaveral Floridablanca",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</si>
  <si>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8   ----------------------------------------------------------------------------------------------------------------------*/
{
     "nombrePais":"Colombia",
     "nombreCiudad":"Bucaramanga",
     "citylist":"5",
     "storeId":"6",
     "storeName":"La Aurora",
     "whatsApp":"3005071000",
     "pbx":"01 8000 41 37 57",
     "nombreMarca":"Mattelsa",
     "tiendaAbierta":" true",
     "texto":"Mas Amor Por Favor",
     "coordinates": {
         "latitude":7.126017,
         "longitude":-73.114548
     },
     "direcciones":"Cra 31 # 32 - 45",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</si>
  <si>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9   ----------------------------------------------------------------------------------------------------------------------*/
{
     "nombrePais":"Colombia",
     "nombreCiudad":"Buenaventura",
     "citylist":"6",
     "storeId":"51",
     "storeName":"Buenaventura",
     "whatsApp":"3005071000",
     "pbx":"01 8000 41 37 57",
     "nombreMarca":"Mattelsa",
     "tiendaAbierta":" true",
     "texto":"Mas Amor Por Favor",
     "coordinates": {
         "latitude":3.887216,
         "longitude":-77.076978
     },
     "direcciones":"Carrera 5 #1-27",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</si>
  <si>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10   ----------------------------------------------------------------------------------------------------------------------*/
{
     "nombrePais":"Colombia",
     "nombreCiudad":"Cali",
     "citylist":"7",
     "storeId":"74",
     "storeName":"Ciudad Jardín ",
     "whatsApp":"3005071000",
     "pbx":"01 8000 41 37 57",
     "nombreMarca":"Mattelsa",
     "tiendaAbierta":" true",
     "texto":"Mas Amor Por Favor",
     "coordinates": {
         "latitude":3.367960,
         "longitude":-76.529994
     },
     "direcciones":"Cra 100 # 15A – 61 Cuarto piso Local 400 (CC Aventura Plaza)",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</si>
  <si>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11   ----------------------------------------------------------------------------------------------------------------------*/
{
     "nombrePais":"Colombia",
     "nombreCiudad":"Cali",
     "citylist":"7",
     "storeId":"17",
     "storeName":"La Flora",
     "whatsApp":"3005071000",
     "pbx":"01 8000 41 37 57",
     "nombreMarca":"Mattelsa",
     "tiendaAbierta":" true",
     "texto":"Mas Amor Por Favor",
     "coordinates": {
         "latitude":3.483485,
         "longitude":-76.522831
     },
     "direcciones":"Calle 47 norte #4bn-75",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</si>
  <si>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12   ----------------------------------------------------------------------------------------------------------------------*/
{
     "nombrePais":"Colombia",
     "nombreCiudad":"Cali",
     "citylist":"7",
     "storeId":"19",
     "storeName":"Limonar",
     "whatsApp":"3005071000",
     "pbx":"01 8000 41 37 57",
     "nombreMarca":"Mattelsa",
     "tiendaAbierta":" true",
     "texto":"Mas Amor Por Favor",
     "coordinates": {
         "latitude":3.401846,
         "longitude":-76.544435
     },
     "direcciones":"Cra 63 # 6a - 84 segundo piso",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</si>
  <si>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13   ----------------------------------------------------------------------------------------------------------------------*/
{
     "nombrePais":"Colombia",
     "nombreCiudad":"Cartagena",
     "citylist":"8",
     "storeId":"16",
     "storeName":"Castellana",
     "whatsApp":"3005071000",
     "pbx":"01 8000 41 37 57",
     "nombreMarca":"Mattelsa",
     "tiendaAbierta":" true",
     "texto":"Mas Amor Por Favor",
     "coordinates": {
         "latitude":10.394532,
         "longitude":-75.485052
     },
     "direcciones":"Av. Pedro de Heredia #31A-09",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</si>
  <si>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14   ----------------------------------------------------------------------------------------------------------------------*/
{
     "nombrePais":"Colombia",
     "nombreCiudad":"Cúcuta",
     "citylist":"9",
     "storeId":"9",
     "storeName":"Cúcuta",
     "whatsApp":"3005071000",
     "pbx":"01 8000 41 37 57",
     "nombreMarca":"Mattelsa",
     "tiendaAbierta":" true",
     "texto":"Mas Amor Por Favor",
     "coordinates": {
         "latitude":7.892443,
         "longitude":-72.500067
     },
     "direcciones":"Avenida 0a # 5 - 38",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</si>
  <si>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15   ----------------------------------------------------------------------------------------------------------------------*/
{
     "nombrePais":"Colombia",
     "nombreCiudad":"Florencia",
     "citylist":"10",
     "storeId":"63",
     "storeName":"Florencia",
     "whatsApp":"3005071000",
     "pbx":"01 8000 41 37 57",
     "nombreMarca":"Mattelsa",
     "tiendaAbierta":" true",
     "texto":"Mas Amor Por Favor",
     "coordinates": {
         "latitude":1.618866,
         "longitude":-75.614301
     },
     "direcciones":"Carrera 11A # 19-03",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</si>
  <si>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16   ----------------------------------------------------------------------------------------------------------------------*/
{
     "nombrePais":"Colombia",
     "nombreCiudad":"Ibagué",
     "citylist":"11",
     "storeId":"15",
     "storeName":"Ibagué",
     "whatsApp":"3005071000",
     "pbx":"01 8000 41 37 57",
     "nombreMarca":"Mattelsa",
     "tiendaAbierta":" true",
     "texto":"Mas Amor Por Favor",
     "coordinates": {
         "latitude":4.441102,
         "longitude":-75.204625
     },
     "direcciones":"Centro Comercial Acqua Carrera 9 #57-15 4 piso Local: 407",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</si>
  <si>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17   ----------------------------------------------------------------------------------------------------------------------*/
{
     "nombrePais":"Colombia",
     "nombreCiudad":"Manizales",
     "citylist":"12",
     "storeId":"20",
     "storeName":"Manizales",
     "whatsApp":"3005071000",
     "pbx":"01 8000 41 37 57",
     "nombreMarca":"Mattelsa",
     "tiendaAbierta":" true",
     "texto":"Mas Amor Por Favor",
     "coordinates": {
         "latitude":5.062282,
         "longitude":-75.498346
     },
     "direcciones":"Calle 50A # 25 - 44",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</si>
  <si>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18   ----------------------------------------------------------------------------------------------------------------------*/
{
     "nombrePais":"Colombia",
     "nombreCiudad":"Más Tiendas",
     "citylist":"13",
     "storeId":"2",
     "storeName":"Apartadó",
     "whatsApp":"3005071000",
     "pbx":"01 8000 41 37 57",
     "nombreMarca":"Mattelsa",
     "tiendaAbierta":" true",
     "texto":"Mas Amor Por Favor",
     "coordinates": {
         "latitude":7.884066,
         "longitude":-76.635167
     },
     "direcciones":"Calle 99 # 104 - 28",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</si>
  <si>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19   ----------------------------------------------------------------------------------------------------------------------*/
{
     "nombrePais":"Colombia",
     "nombreCiudad":"Más Tiendas",
     "citylist":"13",
     "storeId":"7",
     "storeName":"Cartago",
     "whatsApp":"3005071000",
     "pbx":"01 8000 41 37 57",
     "nombreMarca":"Mattelsa",
     "tiendaAbierta":" true",
     "texto":"Mas Amor Por Favor",
     "coordinates": {
         "latitude":4.750160,
         "longitude":-75.917587
     },
     "direcciones":"Carrera 4 # 15-94 local 2",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</si>
  <si>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20   ----------------------------------------------------------------------------------------------------------------------*/
{
     "nombrePais":"Colombia",
     "nombreCiudad":"Más Tiendas",
     "citylist":"13",
     "storeId":"29",
     "storeName":"San Gil",
     "whatsApp":"3005071000",
     "pbx":"01 8000 41 37 57",
     "nombreMarca":"Mattelsa",
     "tiendaAbierta":" true",
     "texto":"Mas Amor Por Favor",
     "coordinates": {
         "latitude":6.556402,
         "longitude":-73.134951
     },
     "direcciones":"Cra 9 # 14 – 82 local:04",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</si>
  <si>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21   ----------------------------------------------------------------------------------------------------------------------*/
{
     "nombrePais":"Colombia",
     "nombreCiudad":"Más Tiendas",
     "citylist":"13",
     "storeId":"31",
     "storeName":"Santa Rosa de Cabal",
     "whatsApp":"3005071000",
     "pbx":"01 8000 41 37 57",
     "nombreMarca":"Mattelsa",
     "tiendaAbierta":" true",
     "texto":"Mas Amor Por Favor",
     "coordinates": {
         "latitude":4.866097,
         "longitude":-75.619433
     },
     "direcciones":"Carrera 15 # 12 - 44 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</si>
  <si>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22   ----------------------------------------------------------------------------------------------------------------------*/
{
     "nombrePais":"Colombia",
     "nombreCiudad":"Más Tiendas",
     "citylist":"13",
     "storeId":"33",
     "storeName":"Socorro",
     "whatsApp":"3005071000",
     "pbx":"01 8000 41 37 57",
     "nombreMarca":"Mattelsa",
     "tiendaAbierta":" true",
     "texto":"Mas Amor Por Favor",
     "coordinates": {
         "latitude":6.468686,
         "longitude":-73.262242
     },
     "direcciones":"Calle 13 # 12 – 30 (local 3)",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</si>
  <si>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23   ----------------------------------------------------------------------------------------------------------------------*/
{
     "nombrePais":"Colombia",
     "nombreCiudad":"Más Tiendas",
     "citylist":"13",
     "storeId":"39",
     "storeName":"Ocaña",
     "whatsApp":"3005071000",
     "pbx":"01 8000 41 37 57",
     "nombreMarca":"Mattelsa",
     "tiendaAbierta":" true",
     "texto":"Mas Amor Por Favor",
     "coordinates": {
         "latitude":8.236418,
         "longitude":-73.352823
     },
     "direcciones":"Calle 11 # 13-52 local 107",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</si>
  <si>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24   ----------------------------------------------------------------------------------------------------------------------*/
{
     "nombrePais":"Colombia",
     "nombreCiudad":"Más Tiendas",
     "citylist":"13",
     "storeId":"41",
     "storeName":"Palmira",
     "whatsApp":"3005071000",
     "pbx":"01 8000 41 37 57",
     "nombreMarca":"Mattelsa",
     "tiendaAbierta":" true",
     "texto":"Mas Amor Por Favor",
     "coordinates": {
         "latitude":3.528512,
         "longitude":-76.300542
     },
     "direcciones":"Carrera 30 # 31-47",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</si>
  <si>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25   ----------------------------------------------------------------------------------------------------------------------*/
{
     "nombrePais":"Colombia",
     "nombreCiudad":"Más Tiendas",
     "citylist":"13",
     "storeId":"45",
     "storeName":"Garzón",
     "whatsApp":"3005071000",
     "pbx":"01 8000 41 37 57",
     "nombreMarca":"Mattelsa",
     "tiendaAbierta":" true",
     "texto":"Mas Amor Por Favor",
     "coordinates": {
         "latitude":2.195657,
         "longitude":-75.626445
     },
     "direcciones":"Calle 7 # 6-07",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</si>
  <si>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26   ----------------------------------------------------------------------------------------------------------------------*/
{
     "nombrePais":"Colombia",
     "nombreCiudad":"Más Tiendas",
     "citylist":"13",
     "storeId":"48",
     "storeName":"Pitalito",
     "whatsApp":"3005071000",
     "pbx":"01 8000 41 37 57",
     "nombreMarca":"Mattelsa",
     "tiendaAbierta":" true",
     "texto":"Mas Amor Por Favor",
     "coordinates": {
         "latitude":1.853804,
         "longitude":-76.042232
     },
     "direcciones":"Calle 11 # 2 - 10 local 101",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</si>
  <si>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27   ----------------------------------------------------------------------------------------------------------------------*/
{
     "nombrePais":"Colombia",
     "nombreCiudad":"Más Tiendas",
     "citylist":"13",
     "storeId":"50",
     "storeName":"Fusagasugá",
     "whatsApp":"3005071000",
     "pbx":"01 8000 41 37 57",
     "nombreMarca":"Mattelsa",
     "tiendaAbierta":" true",
     "texto":"Mas Amor Por Favor",
     "coordinates": {
         "latitude":4.336923,
         "longitude":-74.366314
     },
     "direcciones":"Calle 16B #12 - 45",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</si>
  <si>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28   ----------------------------------------------------------------------------------------------------------------------*/
{
     "nombrePais":"Colombia",
     "nombreCiudad":"Más Tiendas",
     "citylist":"13",
     "storeId":"52",
     "storeName":"Caucasia",
     "whatsApp":"3005071000",
     "pbx":"01 8000 41 37 57",
     "nombreMarca":"Mattelsa",
     "tiendaAbierta":" true",
     "texto":"Mas Amor Por Favor",
     "coordinates": {
         "latitude":7.981777,
         "longitude":-75.203920
     },
     "direcciones":"Carrera 22 b # 11-15",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</si>
  <si>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29   ----------------------------------------------------------------------------------------------------------------------*/
{
     "nombrePais":"Colombia",
     "nombreCiudad":"Más Tiendas",
     "citylist":"13",
     "storeId":"54",
     "storeName":"Pamplona",
     "whatsApp":"3005071000",
     "pbx":"01 8000 41 37 57",
     "nombreMarca":"Mattelsa",
     "tiendaAbierta":" true",
     "texto":"Mas Amor Por Favor",
     "coordinates": {
         "latitude":7.373771,
         "longitude":-72.650238
     },
     "direcciones":"Carrera 5 # 8b - 09",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</si>
  <si>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30   ----------------------------------------------------------------------------------------------------------------------*/
{
     "nombrePais":"Colombia",
     "nombreCiudad":"Más Tiendas",
     "citylist":"13",
     "storeId":"56",
     "storeName":"La Dorada",
     "whatsApp":"3005071000",
     "pbx":"01 8000 41 37 57",
     "nombreMarca":"Mattelsa",
     "tiendaAbierta":" true",
     "texto":"Mas Amor Por Favor",
     "coordinates": {
         "latitude":5.450480,
         "longitude":-74.662250
     },
     "direcciones":"Calle 10 #2-80",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</si>
  <si>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31   ----------------------------------------------------------------------------------------------------------------------*/
{
     "nombrePais":"Colombia",
     "nombreCiudad":"Más Tiendas",
     "citylist":"13",
     "storeId":"58",
     "storeName":"Caldas",
     "whatsApp":"3005071000",
     "pbx":"01 8000 41 37 57",
     "nombreMarca":"Mattelsa",
     "tiendaAbierta":" true",
     "texto":"Mas Amor Por Favor",
     "coordinates": {
         "latitude":6.093747,
         "longitude":-75.636563
     },
     "direcciones":"Calle 127 Sur # 50 - 45",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</si>
  <si>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32   ----------------------------------------------------------------------------------------------------------------------*/
{
     "nombrePais":"Colombia",
     "nombreCiudad":"Más Tiendas",
     "citylist":"13",
     "storeId":"59",
     "storeName":"Girardot",
     "whatsApp":"3005071000",
     "pbx":"01 8000 41 37 57",
     "nombreMarca":"Mattelsa",
     "tiendaAbierta":" true",
     "texto":"Mas Amor Por Favor",
     "coordinates": {
         "latitude":4.299024,
         "longitude":-74.807488
     },
     "direcciones":"Calle 19 # 12-75",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</si>
  <si>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33   ----------------------------------------------------------------------------------------------------------------------*/
{
     "nombrePais":"Colombia",
     "nombreCiudad":"Más Tiendas",
     "citylist":"13",
     "storeId":"64",
     "storeName":"Yarumal",
     "whatsApp":"3005071000",
     "pbx":"01 8000 41 37 57",
     "nombreMarca":"Mattelsa",
     "tiendaAbierta":" true",
     "texto":"Mas Amor Por Favor",
     "coordinates": {
         "latitude":6.964327,
         "longitude":-75.418537
     },
     "direcciones":"Calle 22 # 19 - 40 local 103",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</si>
  <si>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34   ----------------------------------------------------------------------------------------------------------------------*/
{
     "nombrePais":"Colombia",
     "nombreCiudad":"Más Tiendas",
     "citylist":"13",
     "storeId":"65",
     "storeName":"Barbosa - Santander",
     "whatsApp":"3005071000",
     "pbx":"01 8000 41 37 57",
     "nombreMarca":"Mattelsa",
     "tiendaAbierta":" true",
     "texto":"Mas Amor Por Favor",
     "coordinates": {
         "latitude":5.933100,
         "longitude":-73.614130
     },
     "direcciones":"Carrera 8 # 13-44",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</si>
  <si>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35   ----------------------------------------------------------------------------------------------------------------------*/
{
     "nombrePais":"Colombia",
     "nombreCiudad":"Medellín",
     "citylist":"14",
     "storeId":"18",
     "storeName":"Laureles",
     "whatsApp":"3005071000",
     "pbx":"01 8000 41 37 57",
     "nombreMarca":"Mattelsa",
     "tiendaAbierta":" true",
     "texto":"Mas Amor Por Favor",
     "coordinates": {
         "latitude":6.244067,
         "longitude":-75.592062
     },
     "direcciones":"Circular 2 N° 73 - 74",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</si>
  <si>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36   ----------------------------------------------------------------------------------------------------------------------*/
{
     "nombrePais":"Colombia",
     "nombreCiudad":"Medellín",
     "citylist":"14",
     "storeId":"49",
     "storeName":"Sabaneta",
     "whatsApp":"3005071000",
     "pbx":"01 8000 41 37 57",
     "nombreMarca":"Mattelsa",
     "tiendaAbierta":" true",
     "texto":"Mas Amor Por Favor",
     "coordinates": {
         "latitude":6.159823,
         "longitude":-75.605460
     },
     "direcciones":"Calle 52 Sur # 44 – 39",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</si>
  <si>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37   ----------------------------------------------------------------------------------------------------------------------*/
{
     "nombrePais":"Colombia",
     "nombreCiudad":"Medellín",
     "citylist":"14",
     "storeId":"69",
     "storeName":"Ruta N",
     "whatsApp":"3005071000",
     "pbx":"01 8000 41 37 57",
     "nombreMarca":"Mattelsa",
     "tiendaAbierta":" true",
     "texto":"Mas Amor Por Favor",
     "coordinates": {
         "latitude":6.263763,
         "longitude":-75.567500
     },
     "direcciones":"Centro Comercial Aventura Carrera 55 # 65-90 Local 102.",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</si>
  <si>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38   ----------------------------------------------------------------------------------------------------------------------*/
{
     "nombrePais":"Colombia",
     "nombreCiudad":"Medellín",
     "citylist":"14",
     "storeId":"71",
     "storeName":"Florida",
     "whatsApp":"3005071000",
     "pbx":"01 8000 41 37 57",
     "nombreMarca":"Mattelsa",
     "tiendaAbierta":" true",
     "texto":"Mas Amor Por Favor",
     "coordinates": {
         "latitude":6.270807,
         "longitude":-75.577613
     },
     "direcciones":"Centro comercial Florida: calle 71 # 65-150 local 3184 etapa 1",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</si>
  <si>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39   ----------------------------------------------------------------------------------------------------------------------*/
{
     "nombrePais":"Colombia",
     "nombreCiudad":"Medellín",
     "citylist":"14",
     "storeId":"70",
     "storeName":"Tesoro",
     "whatsApp":"3005071000",
     "pbx":"01 8000 41 37 57",
     "nombreMarca":"Mattelsa",
     "tiendaAbierta":" true",
     "texto":"Mas Amor Por Favor",
     "coordinates": {
         "latitude":6.197481,
         "longitude":-75.559130
     },
     "direcciones":"Centro Comercial El Tesoro Cra 25a # 1A Sur - 45 Sótano 2",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</si>
  <si>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40   ----------------------------------------------------------------------------------------------------------------------*/
{
     "nombrePais":"Colombia",
     "nombreCiudad":"Medellín",
     "citylist":"14",
     "storeId":"25",
     "storeName":"Poblado",
     "whatsApp":"3005071000",
     "pbx":"01 8000 41 37 57",
     "nombreMarca":"Mattelsa",
     "tiendaAbierta":" true",
     "texto":"Mas Amor Por Favor",
     "coordinates": {
         "latitude":6.217133,
         "longitude":-75.574105
     },
     "direcciones":"Calle 16 # 45 - 78",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</si>
  <si>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41   ----------------------------------------------------------------------------------------------------------------------*/
{
     "nombrePais":"Colombia",
     "nombreCiudad":"Medellín",
     "citylist":"14",
     "storeId":"5",
     "storeName":"Bello",
     "whatsApp":"3005071000",
     "pbx":"01 8000 41 37 57",
     "nombreMarca":"Mattelsa",
     "tiendaAbierta":" true",
     "texto":"Mas Amor Por Favor",
     "coordinates": {
         "latitude":6.336879,
         "longitude":-75.550628
     },
     "direcciones":"Diagonal 51a #43-53 niquía",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</si>
  <si>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42   ----------------------------------------------------------------------------------------------------------------------*/
{
     "nombrePais":"Colombia",
     "nombreCiudad":"Montería",
     "citylist":"15",
     "storeId":"21",
     "storeName":"Montería",
     "whatsApp":"3005071000",
     "pbx":"01 8000 41 37 57",
     "nombreMarca":"Mattelsa",
     "tiendaAbierta":" true",
     "texto":"Mas Amor Por Favor",
     "coordinates": {
         "latitude":8.753214,
         "longitude":-75.882263
     },
     "direcciones":"Calle 29 # 9 - 22",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</si>
  <si>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43   ----------------------------------------------------------------------------------------------------------------------*/
{
     "nombrePais":"Colombia",
     "nombreCiudad":"Neiva",
     "citylist":"16",
     "storeId":"22",
     "storeName":"Neiva",
     "whatsApp":"3005071000",
     "pbx":"01 8000 41 37 57",
     "nombreMarca":"Mattelsa",
     "tiendaAbierta":" true",
     "texto":"Mas Amor Por Favor",
     "coordinates": {
         "latitude":2.933369,
         "longitude":-75.286607
     },
     "direcciones":"Carrera 8 # 14 – 48. Barrio La Toma",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</si>
  <si>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44   ----------------------------------------------------------------------------------------------------------------------*/
{
     "nombrePais":"Colombia",
     "nombreCiudad":"Pasto",
     "citylist":"17",
     "storeId":"66",
     "storeName":"Pasto",
     "whatsApp":"3005071000",
     "pbx":"01 8000 41 37 57",
     "nombreMarca":"Mattelsa",
     "tiendaAbierta":" true",
     "texto":"Mas Amor Por Favor",
     "coordinates": {
         "latitude":1.219368,
         "longitude":-77.285764
     },
     "direcciones":"CRA 34 # 15 - 36 EDIFICIO EMANUEL BARRIO SAN IGNACIO",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</si>
  <si>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45   ----------------------------------------------------------------------------------------------------------------------*/
{
     "nombrePais":"Colombia",
     "nombreCiudad":"Pereira",
     "citylist":"18",
     "storeId":"24",
     "storeName":"Pereira",
     "whatsApp":"3005071000",
     "pbx":"01 8000 41 37 57",
     "nombreMarca":"Mattelsa",
     "tiendaAbierta":" true",
     "texto":"Mas Amor Por Favor",
     "coordinates": {
         "latitude":4.809240,
         "longitude":-75.699031
     },
     "direcciones":"Calle 24 #13 - 59",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</si>
  <si>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46   ----------------------------------------------------------------------------------------------------------------------*/
{
     "nombrePais":"Colombia",
     "nombreCiudad":"Popayán",
     "citylist":"19",
     "storeId":"26",
     "storeName":"Popayán",
     "whatsApp":"3005071000",
     "pbx":"01 8000 41 37 57",
     "nombreMarca":"Mattelsa",
     "tiendaAbierta":" true",
     "texto":"Mas Amor Por Favor",
     "coordinates": {
         "latitude":2.443151,
         "longitude":-76.606406
     },
     "direcciones":"Cra 7 # 3 – 22 C.C Plaza Colonial Local 101",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</si>
  <si>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47   ----------------------------------------------------------------------------------------------------------------------*/
{
     "nombrePais":"Colombia",
     "nombreCiudad":"Quibdó",
     "citylist":"20",
     "storeId":"75",
     "storeName":"Quibdó",
     "whatsApp":"3005071000",
     "pbx":"01 8000 41 37 57",
     "nombreMarca":"Mattelsa",
     "tiendaAbierta":" true",
     "texto":"Mas Amor Por Favor",
     "coordinates": {
         "latitude":5.689957,
         "longitude":-76.644172
     },
     "direcciones":"Av Aeropuerto cc el Caraño local 22",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</si>
  <si>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48   ----------------------------------------------------------------------------------------------------------------------*/
{
     "nombrePais":"Colombia",
     "nombreCiudad":"Rionegro",
     "citylist":"21",
     "storeId":"27",
     "storeName":"Rionegro",
     "whatsApp":"3005071000",
     "pbx":"01 8000 41 37 57",
     "nombreMarca":"Mattelsa",
     "tiendaAbierta":" true",
     "texto":"Mas Amor Por Favor",
     "coordinates": {
         "latitude":6.147103,
         "longitude":-75.378316
     },
     "direcciones":"Centro Comercial San Nicolás Calle 43 No. 54 – 139 Local 1509",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</si>
  <si>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49   ----------------------------------------------------------------------------------------------------------------------*/
{
     "nombrePais":"Colombia",
     "nombreCiudad":"San Andrés",
     "citylist":"22",
     "storeId":"28",
     "storeName":"San Andrés",
     "whatsApp":"3005071000",
     "pbx":"01 8000 41 37 57",
     "nombreMarca":"Mattelsa",
     "tiendaAbierta":" true",
     "texto":"Mas Amor Por Favor",
     "coordinates": {
         "latitude":12.585193,
         "longitude":-81.695251
     },
     "direcciones":"Avenida 20 de Julio número 1-75, Edificio Cine Hollywood",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</si>
  <si>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50   ----------------------------------------------------------------------------------------------------------------------*/
{
     "nombrePais":"Colombia",
     "nombreCiudad":"Santa Marta",
     "citylist":"23",
     "storeId":"30",
     "storeName":"Santa Marta",
     "whatsApp":"3005071000",
     "pbx":"01 8000 41 37 57",
     "nombreMarca":"Mattelsa",
     "tiendaAbierta":" true",
     "texto":"Mas Amor Por Favor",
     "coordinates": {
         "latitude":11.235685,
         "longitude":-74.209941
     },
     "direcciones":"Cra 5 # 26B - 07",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</si>
  <si>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51   ----------------------------------------------------------------------------------------------------------------------*/
{
     "nombrePais":"Colombia",
     "nombreCiudad":"Tuluá",
     "citylist":"24",
     "storeId":"34",
     "storeName":"Tuluá",
     "whatsApp":"3005071000",
     "pbx":"01 8000 41 37 57",
     "nombreMarca":"Mattelsa",
     "tiendaAbierta":" true",
     "texto":"Mas Amor Por Favor",
     "coordinates": {
         "latitude":4.081360,
         "longitude":-76.196822
     },
     "direcciones":"Cra 27 # 30 - 16 piso 2",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</si>
  <si>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52   ----------------------------------------------------------------------------------------------------------------------*/
{
     "nombrePais":"Colombia",
     "nombreCiudad":"Tunja",
     "citylist":"25",
     "storeId":"67",
     "storeName":"Tunja",
     "whatsApp":"3005071000",
     "pbx":"01 8000 41 37 57",
     "nombreMarca":"Mattelsa",
     "tiendaAbierta":" true",
     "texto":"Mas Amor Por Favor",
     "coordinates": {
         "latitude":5.542413,
         "longitude":-73.350969
     },
     "direcciones":"Avenida Villa Olímpica 1A-74 local #4 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</si>
  <si>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53   ----------------------------------------------------------------------------------------------------------------------*/
{
     "nombrePais":"Colombia",
     "nombreCiudad":"Valledupar",
     "citylist":"26",
     "storeId":"35",
     "storeName":"Valledupar",
     "whatsApp":"3005071000",
     "pbx":"01 8000 41 37 57",
     "nombreMarca":"Mattelsa",
     "tiendaAbierta":" true",
     "texto":"Mas Amor Por Favor",
     "coordinates": {
         "latitude":10.466875,
         "longitude":-73.256265
     },
     "direcciones":"CR 19 con CL 16 C - Glorieta los Gallos",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</si>
  <si>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54   ----------------------------------------------------------------------------------------------------------------------*/
{
     "nombrePais":"Colombia",
     "nombreCiudad":"Villavicencio",
     "citylist":"27",
     "storeId":"36",
     "storeName":"Villavicencio",
     "whatsApp":"3005071000",
     "pbx":"01 8000 41 37 57",
     "nombreMarca":"Mattelsa",
     "tiendaAbierta":" true",
     "texto":"Mas Amor Por Favor",
     "coordinates": {
         "latitude":4.144018,
         "longitude":-73.635885
     },
     "direcciones":"Calle 32 # 34 - 68",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</si>
  <si>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 xml:space="preserve">
/*   55   ----------------------------------------------------------------------------------------------------------------------*/
{
     "nombrePais":"Colombia",
     "nombreCiudad":"Yopal",
     "citylist":"28",
     "storeId":"37",
     "storeName":"Yopal",
     "whatsApp":"3005071000",
     "pbx":"01 8000 41 37 57",
     "nombreMarca":"Mattelsa",
     "tiendaAbierta":" true",
     "texto":"Mas Amor Por Favor",
     "coordinates": {
         "latitude":5.345789,
         "longitude":-72.393285
     },
     "direcciones":"Carrera 25 # 14 - 36",
     "zonaHoraria":"GMT-05:00 America/Bogota",
     "horarios": [{
         "diaNombre":"Lunes",
         "diaNumber":"1",
         "horaAbre":"8:00 AM",
         "horaCierra":"7:00 PM",
         "abierto": true,
         "holiday":"",
         }, {
         "diaNombre":"Martes",
         "diaNumber":"2",
         "horaAbre":"8:00 AM",
         "horaCierra":"7:00 PM",
         "abierto": true,
         "holiday":"",
         }, {
         "diaNombre":"Miércoles",
         "diaNumber":"3",
         "horaAbre":"8:00 AM",
         "horaCierra":"7:00 PM",
         "abierto": true,
         "holiday":"",
         }, {
         "diaNombre":"Jueves",
         "diaNumber":"4",
         "horaAbre":"8:00 AM",
         "horaCierra":"7:00 PM",
         "abierto": true,
         "holiday":"",
         }, {
         "diaNombre":"Viernes",
         "diaNumber":"5",
         "horaAbre":"8:00 AM",
         "horaCierra":"7:00 PM",
         "abierto": true,
         "holiday":"",
         }, {
         "diaNombre":"Sábado",
         "diaNumber":"6",
         "horaAbre":"8:00 AM",
         "horaCierra":"7:00 PM",
         "abierto": true,
         "holiday":"",
         }, {
         "diaNombre":"Domingo",
         "diaNumber":"7",
         "horaAbre":"8:00 AM",
         "horaCierra":"7:00 PM",
         "abierto": true,
         "holiday":"",
}],
},
</t>
  </si>
  <si>
    <t>&lt;/a&gt;</t>
  </si>
  <si>
    <t>&lt;a href="javascript:void(0)" citylist="</t>
  </si>
  <si>
    <t>" class="w3-bar-item w3-button"&gt;</t>
  </si>
  <si>
    <t>&lt;a href="javascript:void(0)" citylist="2" class="w3-bar-item w3-button"&gt;Barrancabermeja&lt;/a&gt;</t>
  </si>
  <si>
    <t>&lt;a href="javascript:void(0)" citylist="3" class="w3-bar-item w3-button"&gt;Barranquilla&lt;/a&gt;</t>
  </si>
  <si>
    <t>&lt;a href="javascript:void(0)" citylist="4" class="w3-bar-item w3-button"&gt;Bogotá&lt;/a&gt;</t>
  </si>
  <si>
    <t>&lt;a href="javascript:void(0)" citylist="5" class="w3-bar-item w3-button"&gt;Bucaramanga&lt;/a&gt;</t>
  </si>
  <si>
    <t>&lt;a href="javascript:void(0)" citylist="6" class="w3-bar-item w3-button"&gt;Buenaventura&lt;/a&gt;</t>
  </si>
  <si>
    <t>&lt;a href="javascript:void(0)" citylist="7" class="w3-bar-item w3-button"&gt;Cali&lt;/a&gt;</t>
  </si>
  <si>
    <t>&lt;a href="javascript:void(0)" citylist="8" class="w3-bar-item w3-button"&gt;Cartagena&lt;/a&gt;</t>
  </si>
  <si>
    <t>&lt;a href="javascript:void(0)" citylist="9" class="w3-bar-item w3-button"&gt;Cúcuta&lt;/a&gt;</t>
  </si>
  <si>
    <t>&lt;a href="javascript:void(0)" citylist="10" class="w3-bar-item w3-button"&gt;Florencia&lt;/a&gt;</t>
  </si>
  <si>
    <t>&lt;a href="javascript:void(0)" citylist="11" class="w3-bar-item w3-button"&gt;Ibagué&lt;/a&gt;</t>
  </si>
  <si>
    <t>&lt;a href="javascript:void(0)" citylist="12" class="w3-bar-item w3-button"&gt;Manizales&lt;/a&gt;</t>
  </si>
  <si>
    <t>&lt;a href="javascript:void(0)" citylist="13" class="w3-bar-item w3-button"&gt;Más Tiendas&lt;/a&gt;</t>
  </si>
  <si>
    <t>&lt;a href="javascript:void(0)" citylist="14" class="w3-bar-item w3-button"&gt;Medellín&lt;/a&gt;</t>
  </si>
  <si>
    <t>&lt;a href="javascript:void(0)" citylist="15" class="w3-bar-item w3-button"&gt;Montería&lt;/a&gt;</t>
  </si>
  <si>
    <t>&lt;a href="javascript:void(0)" citylist="16" class="w3-bar-item w3-button"&gt;Neiva&lt;/a&gt;</t>
  </si>
  <si>
    <t>&lt;a href="javascript:void(0)" citylist="17" class="w3-bar-item w3-button"&gt;Pasto&lt;/a&gt;</t>
  </si>
  <si>
    <t>&lt;a href="javascript:void(0)" citylist="18" class="w3-bar-item w3-button"&gt;Pereira&lt;/a&gt;</t>
  </si>
  <si>
    <t>&lt;a href="javascript:void(0)" citylist="19" class="w3-bar-item w3-button"&gt;Popayán&lt;/a&gt;</t>
  </si>
  <si>
    <t>&lt;a href="javascript:void(0)" citylist="20" class="w3-bar-item w3-button"&gt;Quibdó&lt;/a&gt;</t>
  </si>
  <si>
    <t>&lt;a href="javascript:void(0)" citylist="21" class="w3-bar-item w3-button"&gt;Rionegro&lt;/a&gt;</t>
  </si>
  <si>
    <t>&lt;a href="javascript:void(0)" citylist="22" class="w3-bar-item w3-button"&gt;San Andrés&lt;/a&gt;</t>
  </si>
  <si>
    <t>&lt;a href="javascript:void(0)" citylist="23" class="w3-bar-item w3-button"&gt;Santa Marta&lt;/a&gt;</t>
  </si>
  <si>
    <t>&lt;a href="javascript:void(0)" citylist="24" class="w3-bar-item w3-button"&gt;Tuluá&lt;/a&gt;</t>
  </si>
  <si>
    <t>&lt;a href="javascript:void(0)" citylist="25" class="w3-bar-item w3-button"&gt;Tunja&lt;/a&gt;</t>
  </si>
  <si>
    <t>&lt;a href="javascript:void(0)" citylist="26" class="w3-bar-item w3-button"&gt;Valledupar&lt;/a&gt;</t>
  </si>
  <si>
    <t>&lt;a href="javascript:void(0)" citylist="27" class="w3-bar-item w3-button"&gt;Villavicencio&lt;/a&gt;</t>
  </si>
  <si>
    <t>&lt;a href="javascript:void(0)" citylist="28" class="w3-bar-item w3-button"&gt;Yopal&lt;/a&gt;</t>
  </si>
  <si>
    <t>nombreArchivo</t>
  </si>
  <si>
    <t>javaS1</t>
  </si>
  <si>
    <t>javaS2</t>
  </si>
  <si>
    <t>javaS3</t>
  </si>
  <si>
    <t>concatenarJava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</si>
</sst>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b/>
      <sz val="12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49" fontId="6" fillId="0" borderId="0" xfId="0" applyNumberFormat="1" applyFont="1" applyAlignment="1">
      <alignment horizontal="center" vertical="center"/>
    </xf>
    <xf numFmtId="0" fontId="2" fillId="0" borderId="0" xfId="1"/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3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78CA75-9EDB-F743-8033-DBE23FFDCB7C}" name="Table1" displayName="Table1" ref="A1:AC56" totalsRowShown="0" headerRowDxfId="34" dataDxfId="33">
  <autoFilter ref="A1:AC56" xr:uid="{B92424F4-9659-6043-B3BC-499DE3AA63FA}"/>
  <tableColumns count="29">
    <tableColumn id="1" xr3:uid="{1238A743-E157-2849-92AD-981E6E37281B}" name="count" dataDxfId="32"/>
    <tableColumn id="2" xr3:uid="{FE175BC6-9F27-9544-993B-329B37F6B689}" name="nombreMarca" dataDxfId="31"/>
    <tableColumn id="3" xr3:uid="{9D9D4045-31F5-DE48-9B85-5FD8DC73F788}" name="nombrePais" dataDxfId="30"/>
    <tableColumn id="4" xr3:uid="{793CAC4C-B66D-1D4E-AD42-8D6EEF94E707}" name="nombreCiudad" dataDxfId="29"/>
    <tableColumn id="5" xr3:uid="{86A046C0-3E30-DB46-9423-163DAB553144}" name="idCiudad" dataDxfId="28"/>
    <tableColumn id="6" xr3:uid="{E394C245-A7D6-1C47-8231-CB931A16C502}" name="nombreTienda" dataDxfId="27"/>
    <tableColumn id="7" xr3:uid="{6032A9F6-A524-C341-B4AB-AD17F4DC89DC}" name="idTienda" dataDxfId="26"/>
    <tableColumn id="8" xr3:uid="{344B9E00-E041-8444-BC54-C301F975E6C3}" name="url" dataDxfId="25" dataCellStyle="Hyperlink">
      <calculatedColumnFormula>HYPERLINK("https://www.mattelsa.net//storelocator/index/view/id/"&amp;G2,G2)</calculatedColumnFormula>
    </tableColumn>
    <tableColumn id="9" xr3:uid="{34E8D48D-CAC4-F44B-9F81-F1DF78D34D2E}" name="direccion" dataDxfId="24"/>
    <tableColumn id="10" xr3:uid="{77CEFC15-7908-3F49-BE40-89D4ED9D647C}" name="latitude" dataDxfId="23"/>
    <tableColumn id="11" xr3:uid="{946C4F46-0FDD-D940-B854-7D01091FF61E}" name="longitude" dataDxfId="22"/>
    <tableColumn id="12" xr3:uid="{D8E4F095-45E1-AF4C-B7DB-40092F25B9F1}" name="zonaHoraria" dataDxfId="21"/>
    <tableColumn id="13" xr3:uid="{6390C08A-DD3E-EC44-8F02-74FC661BE280}" name="Texto" dataDxfId="20"/>
    <tableColumn id="14" xr3:uid="{260806CD-1BF2-FF43-881D-6F744EEA868E}" name="whatsapp" dataDxfId="19"/>
    <tableColumn id="15" xr3:uid="{7AC788B7-A1B9-3A4B-9D52-B58F1B56308D}" name="pbx" dataDxfId="18"/>
    <tableColumn id="16" xr3:uid="{2816B9FD-DFF1-5A40-A39E-98E6BE8F2226}" name="aLunes" dataDxfId="17"/>
    <tableColumn id="17" xr3:uid="{6267F3B4-90F0-C54D-9F86-5029FBCEE132}" name="cLunes" dataDxfId="16"/>
    <tableColumn id="18" xr3:uid="{7A850281-B071-C74C-97BA-AE4CEE85C03F}" name="aMartes" dataDxfId="15"/>
    <tableColumn id="19" xr3:uid="{315B5534-308C-EE4E-AB3A-20B05C16C57D}" name="aMartes2" dataDxfId="14"/>
    <tableColumn id="20" xr3:uid="{F704ECB0-C5D0-B44A-BB76-34ED8313EFBD}" name="aMiercoles" dataDxfId="13"/>
    <tableColumn id="21" xr3:uid="{02B2BBE0-7CAB-1846-924F-F056C0514A07}" name="cMiercoles" dataDxfId="12"/>
    <tableColumn id="22" xr3:uid="{FD7A5DD9-13B2-144E-AD22-1AAA2770F091}" name="aJueves" dataDxfId="11"/>
    <tableColumn id="23" xr3:uid="{F7D776E7-2F20-5D42-A82A-0852F38DE787}" name="cJueves" dataDxfId="10"/>
    <tableColumn id="24" xr3:uid="{C82A5F31-61CD-D24A-8384-5E47BC9E58BC}" name="aViernes" dataDxfId="9"/>
    <tableColumn id="25" xr3:uid="{7C3291DC-D02D-0B42-8A02-100B83576DCC}" name="cViernes" dataDxfId="8"/>
    <tableColumn id="26" xr3:uid="{DAD5008E-7316-3045-999C-4FDC1D85B3C0}" name="aSabado" dataDxfId="7"/>
    <tableColumn id="27" xr3:uid="{BF25A78E-9A5A-B747-B88B-E4252094DBD9}" name="cSabado" dataDxfId="6"/>
    <tableColumn id="28" xr3:uid="{E555627F-A51B-6E4D-95CA-A1FF4B6F253A}" name="aDomingo" dataDxfId="5"/>
    <tableColumn id="29" xr3:uid="{335815D6-3DB3-904C-B1BB-80771C20FFC5}" name="cDomingo" dataDxfId="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317429-8C02-F64A-957D-89ABA9EA9D2D}" name="Table2" displayName="Table2" ref="A1:I55" totalsRowShown="0" headerRowDxfId="3">
  <autoFilter ref="A1:I55" xr:uid="{D11A95D8-4789-AE48-8A2A-0319F27C3B35}"/>
  <tableColumns count="9">
    <tableColumn id="1" xr3:uid="{D2048F15-D3EA-6D46-AE42-20F5A0FD9C49}" name="nombreTienda">
      <calculatedColumnFormula>Table1[[#This Row],[nombreTienda]]</calculatedColumnFormula>
    </tableColumn>
    <tableColumn id="2" xr3:uid="{13AF5D28-E1BB-F840-9CBB-9E68BFCC19C8}" name="idTienda" dataCellStyle="Hyperlink">
      <calculatedColumnFormula>HYPERLINK("https://www.mattelsa.net//storelocator/index/view/id/"&amp;Table1[[#This Row],[idTienda]],Table1[[#This Row],[idTienda]])</calculatedColumnFormula>
    </tableColumn>
    <tableColumn id="3" xr3:uid="{3222F295-F7F1-5344-A078-352A2F1BE601}" name="nombreArchivo" dataDxfId="2">
      <calculatedColumnFormula>CONCATENATE(Table2[[#This Row],[idTienda]]&amp;"_matt")</calculatedColumnFormula>
    </tableColumn>
    <tableColumn id="4" xr3:uid="{52F62CE0-E41A-9249-996D-555807C22CB6}" name="javaS1"/>
    <tableColumn id="5" xr3:uid="{962CBD6B-7BE4-7248-A95D-00959F7A6563}" name="idCiudad" dataDxfId="1">
      <calculatedColumnFormula>Table1[[#This Row],[idCiudad]]</calculatedColumnFormula>
    </tableColumn>
    <tableColumn id="6" xr3:uid="{E3E08824-816F-8945-8553-6216257C8425}" name="javaS2"/>
    <tableColumn id="7" xr3:uid="{BC22233B-AE9A-F445-8F9F-29A9CBFFFF4C}" name="nombreCiudad" dataDxfId="0">
      <calculatedColumnFormula>Table1[[#This Row],[nombreCiudad]]</calculatedColumnFormula>
    </tableColumn>
    <tableColumn id="8" xr3:uid="{79B35BA7-A36C-F541-AC4C-F62C05D294B9}" name="javaS3"/>
    <tableColumn id="9" xr3:uid="{9A1BA092-7C49-BC4A-B91C-6FE124BBAF4E}" name="concatenarJav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FD9C6-A7F4-674F-A0C0-11757BD8094C}">
  <sheetPr codeName="Sheet1"/>
  <dimension ref="A1:AL116"/>
  <sheetViews>
    <sheetView tabSelected="1" topLeftCell="A10" workbookViewId="0">
      <selection activeCell="G25" sqref="G25"/>
    </sheetView>
  </sheetViews>
  <sheetFormatPr baseColWidth="10" defaultRowHeight="16" x14ac:dyDescent="0.2"/>
  <cols>
    <col min="1" max="1" width="10.83203125" style="3"/>
    <col min="2" max="2" width="15.6640625" style="3" customWidth="1"/>
    <col min="3" max="3" width="13.33203125" style="3" customWidth="1"/>
    <col min="4" max="4" width="27.33203125" style="4" customWidth="1"/>
    <col min="5" max="5" width="10.83203125" style="3"/>
    <col min="6" max="6" width="24.6640625" style="3" customWidth="1"/>
    <col min="7" max="8" width="14.33203125" style="3" customWidth="1"/>
    <col min="9" max="9" width="35" style="3" customWidth="1"/>
    <col min="10" max="11" width="14.33203125" style="7" customWidth="1"/>
    <col min="12" max="12" width="27.5" style="3" customWidth="1"/>
    <col min="13" max="13" width="22" style="3" customWidth="1"/>
    <col min="14" max="15" width="18.1640625" style="3" customWidth="1"/>
    <col min="16" max="19" width="14.33203125" style="3" customWidth="1"/>
    <col min="20" max="21" width="12.6640625" style="3" customWidth="1"/>
    <col min="22" max="23" width="10.83203125" style="3"/>
    <col min="24" max="27" width="11" style="3" customWidth="1"/>
    <col min="28" max="29" width="12.33203125" style="3" customWidth="1"/>
    <col min="30" max="16384" width="10.83203125" style="3"/>
  </cols>
  <sheetData>
    <row r="1" spans="1:38" s="1" customFormat="1" x14ac:dyDescent="0.2">
      <c r="A1" s="1" t="s">
        <v>18</v>
      </c>
      <c r="B1" s="1" t="s">
        <v>175</v>
      </c>
      <c r="C1" s="1" t="s">
        <v>174</v>
      </c>
      <c r="D1" s="1" t="s">
        <v>30</v>
      </c>
      <c r="E1" s="1" t="s">
        <v>20</v>
      </c>
      <c r="F1" s="1" t="s">
        <v>0</v>
      </c>
      <c r="G1" s="1" t="s">
        <v>16</v>
      </c>
      <c r="H1" s="1" t="s">
        <v>92</v>
      </c>
      <c r="I1" s="1" t="s">
        <v>19</v>
      </c>
      <c r="J1" s="11" t="s">
        <v>21</v>
      </c>
      <c r="K1" s="11" t="s">
        <v>22</v>
      </c>
      <c r="L1" s="1" t="s">
        <v>28</v>
      </c>
      <c r="M1" s="1" t="s">
        <v>17</v>
      </c>
      <c r="N1" s="1" t="s">
        <v>15</v>
      </c>
      <c r="O1" s="1" t="s">
        <v>14</v>
      </c>
      <c r="P1" s="1" t="s">
        <v>3</v>
      </c>
      <c r="Q1" s="1" t="s">
        <v>1</v>
      </c>
      <c r="R1" s="1" t="s">
        <v>4</v>
      </c>
      <c r="S1" s="1" t="s">
        <v>262</v>
      </c>
      <c r="T1" s="1" t="s">
        <v>5</v>
      </c>
      <c r="U1" s="1" t="s">
        <v>2</v>
      </c>
      <c r="V1" s="1" t="s">
        <v>6</v>
      </c>
      <c r="W1" s="1" t="s">
        <v>8</v>
      </c>
      <c r="X1" s="1" t="s">
        <v>7</v>
      </c>
      <c r="Y1" s="1" t="s">
        <v>9</v>
      </c>
      <c r="Z1" s="1" t="s">
        <v>10</v>
      </c>
      <c r="AA1" s="1" t="s">
        <v>11</v>
      </c>
      <c r="AB1" s="1" t="s">
        <v>12</v>
      </c>
      <c r="AC1" s="1" t="s">
        <v>13</v>
      </c>
    </row>
    <row r="2" spans="1:38" x14ac:dyDescent="0.2">
      <c r="A2" s="3">
        <v>1</v>
      </c>
      <c r="B2" s="3" t="s">
        <v>26</v>
      </c>
      <c r="C2" s="3" t="s">
        <v>25</v>
      </c>
      <c r="D2" s="4" t="s">
        <v>29</v>
      </c>
      <c r="E2" s="3">
        <v>1</v>
      </c>
      <c r="F2" s="2" t="s">
        <v>29</v>
      </c>
      <c r="G2" s="3">
        <v>3</v>
      </c>
      <c r="H2" s="5">
        <f>HYPERLINK("https://www.mattelsa.net//storelocator/index/view/id/"&amp;G2,G2)</f>
        <v>3</v>
      </c>
      <c r="I2" s="2" t="s">
        <v>93</v>
      </c>
      <c r="J2" s="7" t="s">
        <v>95</v>
      </c>
      <c r="K2" s="8" t="s">
        <v>94</v>
      </c>
      <c r="L2" s="3" t="s">
        <v>27</v>
      </c>
      <c r="M2" s="3" t="s">
        <v>23</v>
      </c>
      <c r="N2" s="3">
        <v>3005071000</v>
      </c>
      <c r="O2" s="3" t="s">
        <v>24</v>
      </c>
      <c r="P2" s="6" t="s">
        <v>176</v>
      </c>
      <c r="Q2" s="6" t="s">
        <v>177</v>
      </c>
      <c r="R2" s="6" t="s">
        <v>176</v>
      </c>
      <c r="S2" s="6" t="s">
        <v>177</v>
      </c>
      <c r="T2" s="6" t="s">
        <v>176</v>
      </c>
      <c r="U2" s="6" t="s">
        <v>177</v>
      </c>
      <c r="V2" s="6" t="s">
        <v>176</v>
      </c>
      <c r="W2" s="6" t="s">
        <v>177</v>
      </c>
      <c r="X2" s="6" t="s">
        <v>176</v>
      </c>
      <c r="Y2" s="6" t="s">
        <v>177</v>
      </c>
      <c r="Z2" s="6" t="s">
        <v>176</v>
      </c>
      <c r="AA2" s="6" t="s">
        <v>177</v>
      </c>
      <c r="AB2" s="6" t="s">
        <v>176</v>
      </c>
      <c r="AC2" s="6" t="s">
        <v>177</v>
      </c>
      <c r="AF2" s="13" t="s">
        <v>263</v>
      </c>
      <c r="AG2" s="13"/>
      <c r="AH2" s="13"/>
      <c r="AI2" s="13"/>
      <c r="AJ2" s="13"/>
      <c r="AK2" s="13"/>
      <c r="AL2" s="13"/>
    </row>
    <row r="3" spans="1:38" x14ac:dyDescent="0.2">
      <c r="A3" s="3">
        <v>2</v>
      </c>
      <c r="B3" s="3" t="s">
        <v>26</v>
      </c>
      <c r="C3" s="3" t="s">
        <v>25</v>
      </c>
      <c r="D3" s="4" t="s">
        <v>31</v>
      </c>
      <c r="E3" s="3">
        <v>2</v>
      </c>
      <c r="F3" s="2" t="s">
        <v>31</v>
      </c>
      <c r="G3" s="3">
        <v>40</v>
      </c>
      <c r="H3" s="5">
        <f t="shared" ref="H3:H56" si="0">HYPERLINK("https://www.mattelsa.net//storelocator/index/view/id/"&amp;G3,G3)</f>
        <v>40</v>
      </c>
      <c r="I3" s="2" t="s">
        <v>102</v>
      </c>
      <c r="J3" s="9" t="s">
        <v>97</v>
      </c>
      <c r="K3" s="7" t="s">
        <v>96</v>
      </c>
      <c r="L3" s="3" t="s">
        <v>27</v>
      </c>
      <c r="M3" s="3" t="s">
        <v>23</v>
      </c>
      <c r="N3" s="3">
        <v>3005071000</v>
      </c>
      <c r="O3" s="3" t="s">
        <v>24</v>
      </c>
      <c r="P3" s="6" t="s">
        <v>176</v>
      </c>
      <c r="Q3" s="6" t="s">
        <v>177</v>
      </c>
      <c r="R3" s="6" t="s">
        <v>176</v>
      </c>
      <c r="S3" s="6" t="s">
        <v>177</v>
      </c>
      <c r="T3" s="6" t="s">
        <v>176</v>
      </c>
      <c r="U3" s="6" t="s">
        <v>177</v>
      </c>
      <c r="V3" s="6" t="s">
        <v>176</v>
      </c>
      <c r="W3" s="6" t="s">
        <v>177</v>
      </c>
      <c r="X3" s="6" t="s">
        <v>176</v>
      </c>
      <c r="Y3" s="6" t="s">
        <v>177</v>
      </c>
      <c r="Z3" s="6" t="s">
        <v>176</v>
      </c>
      <c r="AA3" s="6" t="s">
        <v>177</v>
      </c>
      <c r="AB3" s="6" t="s">
        <v>176</v>
      </c>
      <c r="AC3" s="6" t="s">
        <v>177</v>
      </c>
      <c r="AF3" s="13" t="s">
        <v>264</v>
      </c>
      <c r="AG3" s="13"/>
      <c r="AH3" s="13"/>
      <c r="AI3" s="13"/>
      <c r="AJ3" s="13"/>
      <c r="AK3" s="13"/>
      <c r="AL3" s="13"/>
    </row>
    <row r="4" spans="1:38" x14ac:dyDescent="0.2">
      <c r="A4" s="3">
        <v>3</v>
      </c>
      <c r="B4" s="3" t="s">
        <v>26</v>
      </c>
      <c r="C4" s="3" t="s">
        <v>25</v>
      </c>
      <c r="D4" s="4" t="s">
        <v>32</v>
      </c>
      <c r="E4" s="3">
        <v>3</v>
      </c>
      <c r="F4" s="2" t="s">
        <v>58</v>
      </c>
      <c r="G4" s="3">
        <v>4</v>
      </c>
      <c r="H4" s="5">
        <f t="shared" si="0"/>
        <v>4</v>
      </c>
      <c r="I4" s="2" t="s">
        <v>103</v>
      </c>
      <c r="J4" s="7" t="s">
        <v>98</v>
      </c>
      <c r="K4" s="7" t="s">
        <v>99</v>
      </c>
      <c r="L4" s="3" t="s">
        <v>27</v>
      </c>
      <c r="M4" s="3" t="s">
        <v>23</v>
      </c>
      <c r="N4" s="3">
        <v>3005071000</v>
      </c>
      <c r="O4" s="3" t="s">
        <v>24</v>
      </c>
      <c r="P4" s="6" t="s">
        <v>176</v>
      </c>
      <c r="Q4" s="6" t="s">
        <v>177</v>
      </c>
      <c r="R4" s="6" t="s">
        <v>176</v>
      </c>
      <c r="S4" s="6" t="s">
        <v>177</v>
      </c>
      <c r="T4" s="6" t="s">
        <v>176</v>
      </c>
      <c r="U4" s="6" t="s">
        <v>177</v>
      </c>
      <c r="V4" s="6" t="s">
        <v>176</v>
      </c>
      <c r="W4" s="6" t="s">
        <v>177</v>
      </c>
      <c r="X4" s="6" t="s">
        <v>176</v>
      </c>
      <c r="Y4" s="6" t="s">
        <v>177</v>
      </c>
      <c r="Z4" s="6" t="s">
        <v>176</v>
      </c>
      <c r="AA4" s="6" t="s">
        <v>177</v>
      </c>
      <c r="AB4" s="6" t="s">
        <v>176</v>
      </c>
      <c r="AC4" s="6" t="s">
        <v>177</v>
      </c>
      <c r="AF4" s="13" t="s">
        <v>265</v>
      </c>
      <c r="AG4" s="13"/>
      <c r="AH4" s="13"/>
      <c r="AI4" s="13"/>
      <c r="AJ4" s="13"/>
      <c r="AK4" s="13"/>
      <c r="AL4" s="13"/>
    </row>
    <row r="5" spans="1:38" x14ac:dyDescent="0.2">
      <c r="A5" s="3">
        <v>4</v>
      </c>
      <c r="B5" s="3" t="s">
        <v>26</v>
      </c>
      <c r="C5" s="3" t="s">
        <v>25</v>
      </c>
      <c r="D5" s="4" t="s">
        <v>32</v>
      </c>
      <c r="E5" s="3">
        <v>3</v>
      </c>
      <c r="F5" s="2" t="s">
        <v>59</v>
      </c>
      <c r="G5" s="3">
        <v>68</v>
      </c>
      <c r="H5" s="5">
        <f t="shared" si="0"/>
        <v>68</v>
      </c>
      <c r="I5" s="2" t="s">
        <v>107</v>
      </c>
      <c r="J5" s="7" t="s">
        <v>101</v>
      </c>
      <c r="K5" s="7" t="s">
        <v>100</v>
      </c>
      <c r="L5" s="3" t="s">
        <v>27</v>
      </c>
      <c r="M5" s="3" t="s">
        <v>23</v>
      </c>
      <c r="N5" s="3">
        <v>3005071000</v>
      </c>
      <c r="O5" s="3" t="s">
        <v>24</v>
      </c>
      <c r="P5" s="6" t="s">
        <v>176</v>
      </c>
      <c r="Q5" s="6" t="s">
        <v>177</v>
      </c>
      <c r="R5" s="6" t="s">
        <v>176</v>
      </c>
      <c r="S5" s="6" t="s">
        <v>177</v>
      </c>
      <c r="T5" s="6" t="s">
        <v>176</v>
      </c>
      <c r="U5" s="6" t="s">
        <v>177</v>
      </c>
      <c r="V5" s="6" t="s">
        <v>176</v>
      </c>
      <c r="W5" s="6" t="s">
        <v>177</v>
      </c>
      <c r="X5" s="6" t="s">
        <v>176</v>
      </c>
      <c r="Y5" s="6" t="s">
        <v>177</v>
      </c>
      <c r="Z5" s="6" t="s">
        <v>176</v>
      </c>
      <c r="AA5" s="6" t="s">
        <v>177</v>
      </c>
      <c r="AB5" s="6" t="s">
        <v>176</v>
      </c>
      <c r="AC5" s="6" t="s">
        <v>177</v>
      </c>
      <c r="AF5" s="13" t="s">
        <v>266</v>
      </c>
      <c r="AG5" s="13"/>
      <c r="AH5" s="13"/>
      <c r="AI5" s="13"/>
      <c r="AJ5" s="13"/>
      <c r="AK5" s="13"/>
      <c r="AL5" s="13"/>
    </row>
    <row r="6" spans="1:38" x14ac:dyDescent="0.2">
      <c r="A6" s="3">
        <v>5</v>
      </c>
      <c r="B6" s="3" t="s">
        <v>26</v>
      </c>
      <c r="C6" s="3" t="s">
        <v>25</v>
      </c>
      <c r="D6" s="4" t="s">
        <v>33</v>
      </c>
      <c r="E6" s="3">
        <v>4</v>
      </c>
      <c r="F6" s="2" t="s">
        <v>60</v>
      </c>
      <c r="G6" s="3">
        <v>8</v>
      </c>
      <c r="H6" s="5">
        <f t="shared" si="0"/>
        <v>8</v>
      </c>
      <c r="I6" s="2" t="s">
        <v>106</v>
      </c>
      <c r="J6" s="7" t="s">
        <v>155</v>
      </c>
      <c r="K6" s="7" t="s">
        <v>156</v>
      </c>
      <c r="L6" s="3" t="s">
        <v>27</v>
      </c>
      <c r="M6" s="3" t="s">
        <v>23</v>
      </c>
      <c r="N6" s="3">
        <v>3005071000</v>
      </c>
      <c r="O6" s="3" t="s">
        <v>24</v>
      </c>
      <c r="P6" s="6" t="s">
        <v>176</v>
      </c>
      <c r="Q6" s="6" t="s">
        <v>177</v>
      </c>
      <c r="R6" s="6" t="s">
        <v>176</v>
      </c>
      <c r="S6" s="6" t="s">
        <v>177</v>
      </c>
      <c r="T6" s="6" t="s">
        <v>176</v>
      </c>
      <c r="U6" s="6" t="s">
        <v>177</v>
      </c>
      <c r="V6" s="6" t="s">
        <v>176</v>
      </c>
      <c r="W6" s="6" t="s">
        <v>177</v>
      </c>
      <c r="X6" s="6" t="s">
        <v>176</v>
      </c>
      <c r="Y6" s="6" t="s">
        <v>177</v>
      </c>
      <c r="Z6" s="6" t="s">
        <v>176</v>
      </c>
      <c r="AA6" s="6" t="s">
        <v>177</v>
      </c>
      <c r="AB6" s="6" t="s">
        <v>176</v>
      </c>
      <c r="AC6" s="6" t="s">
        <v>177</v>
      </c>
      <c r="AF6" s="13" t="s">
        <v>267</v>
      </c>
      <c r="AG6" s="13"/>
      <c r="AH6" s="13"/>
      <c r="AI6" s="13"/>
      <c r="AJ6" s="13"/>
      <c r="AK6" s="13"/>
      <c r="AL6" s="13"/>
    </row>
    <row r="7" spans="1:38" x14ac:dyDescent="0.2">
      <c r="A7" s="3">
        <v>6</v>
      </c>
      <c r="B7" s="3" t="s">
        <v>26</v>
      </c>
      <c r="C7" s="3" t="s">
        <v>25</v>
      </c>
      <c r="D7" s="4" t="s">
        <v>33</v>
      </c>
      <c r="E7" s="3">
        <v>4</v>
      </c>
      <c r="F7" s="2" t="s">
        <v>61</v>
      </c>
      <c r="G7" s="3">
        <v>12</v>
      </c>
      <c r="H7" s="5">
        <f t="shared" si="0"/>
        <v>12</v>
      </c>
      <c r="I7" s="2" t="s">
        <v>105</v>
      </c>
      <c r="J7" s="7" t="s">
        <v>157</v>
      </c>
      <c r="K7" s="7" t="s">
        <v>158</v>
      </c>
      <c r="L7" s="3" t="s">
        <v>27</v>
      </c>
      <c r="M7" s="3" t="s">
        <v>23</v>
      </c>
      <c r="N7" s="3">
        <v>3005071000</v>
      </c>
      <c r="O7" s="3" t="s">
        <v>24</v>
      </c>
      <c r="P7" s="6" t="s">
        <v>176</v>
      </c>
      <c r="Q7" s="6" t="s">
        <v>177</v>
      </c>
      <c r="R7" s="6" t="s">
        <v>176</v>
      </c>
      <c r="S7" s="6" t="s">
        <v>177</v>
      </c>
      <c r="T7" s="6" t="s">
        <v>176</v>
      </c>
      <c r="U7" s="6" t="s">
        <v>177</v>
      </c>
      <c r="V7" s="6" t="s">
        <v>176</v>
      </c>
      <c r="W7" s="6" t="s">
        <v>177</v>
      </c>
      <c r="X7" s="6" t="s">
        <v>176</v>
      </c>
      <c r="Y7" s="6" t="s">
        <v>177</v>
      </c>
      <c r="Z7" s="6" t="s">
        <v>176</v>
      </c>
      <c r="AA7" s="6" t="s">
        <v>177</v>
      </c>
      <c r="AB7" s="6" t="s">
        <v>176</v>
      </c>
      <c r="AC7" s="6" t="s">
        <v>177</v>
      </c>
      <c r="AF7" s="13" t="s">
        <v>268</v>
      </c>
      <c r="AG7" s="13"/>
      <c r="AH7" s="13"/>
      <c r="AI7" s="13"/>
      <c r="AJ7" s="13"/>
      <c r="AK7" s="13"/>
      <c r="AL7" s="13"/>
    </row>
    <row r="8" spans="1:38" x14ac:dyDescent="0.2">
      <c r="A8" s="3">
        <v>7</v>
      </c>
      <c r="B8" s="3" t="s">
        <v>26</v>
      </c>
      <c r="C8" s="3" t="s">
        <v>25</v>
      </c>
      <c r="D8" s="4" t="s">
        <v>34</v>
      </c>
      <c r="E8" s="3">
        <v>5</v>
      </c>
      <c r="F8" s="2" t="s">
        <v>62</v>
      </c>
      <c r="G8" s="3">
        <v>73</v>
      </c>
      <c r="H8" s="5">
        <f t="shared" si="0"/>
        <v>73</v>
      </c>
      <c r="I8" s="2" t="s">
        <v>161</v>
      </c>
      <c r="J8" s="7" t="s">
        <v>162</v>
      </c>
      <c r="K8" s="7" t="s">
        <v>163</v>
      </c>
      <c r="L8" s="3" t="s">
        <v>27</v>
      </c>
      <c r="M8" s="3" t="s">
        <v>23</v>
      </c>
      <c r="N8" s="3">
        <v>3005071000</v>
      </c>
      <c r="O8" s="3" t="s">
        <v>24</v>
      </c>
      <c r="P8" s="6" t="s">
        <v>176</v>
      </c>
      <c r="Q8" s="6" t="s">
        <v>177</v>
      </c>
      <c r="R8" s="6" t="s">
        <v>176</v>
      </c>
      <c r="S8" s="6" t="s">
        <v>177</v>
      </c>
      <c r="T8" s="6" t="s">
        <v>176</v>
      </c>
      <c r="U8" s="6" t="s">
        <v>177</v>
      </c>
      <c r="V8" s="6" t="s">
        <v>176</v>
      </c>
      <c r="W8" s="6" t="s">
        <v>177</v>
      </c>
      <c r="X8" s="6" t="s">
        <v>176</v>
      </c>
      <c r="Y8" s="6" t="s">
        <v>177</v>
      </c>
      <c r="Z8" s="6" t="s">
        <v>176</v>
      </c>
      <c r="AA8" s="6" t="s">
        <v>177</v>
      </c>
      <c r="AB8" s="6" t="s">
        <v>176</v>
      </c>
      <c r="AC8" s="6" t="s">
        <v>177</v>
      </c>
      <c r="AF8" s="13" t="s">
        <v>269</v>
      </c>
      <c r="AG8" s="13"/>
      <c r="AH8" s="13"/>
      <c r="AI8" s="13"/>
      <c r="AJ8" s="13"/>
      <c r="AK8" s="13"/>
      <c r="AL8" s="13"/>
    </row>
    <row r="9" spans="1:38" x14ac:dyDescent="0.2">
      <c r="A9" s="3">
        <v>8</v>
      </c>
      <c r="B9" s="3" t="s">
        <v>26</v>
      </c>
      <c r="C9" s="3" t="s">
        <v>25</v>
      </c>
      <c r="D9" s="4" t="s">
        <v>34</v>
      </c>
      <c r="E9" s="3">
        <v>5</v>
      </c>
      <c r="F9" s="2" t="s">
        <v>63</v>
      </c>
      <c r="G9" s="3">
        <v>6</v>
      </c>
      <c r="H9" s="5">
        <f t="shared" si="0"/>
        <v>6</v>
      </c>
      <c r="I9" s="2" t="s">
        <v>104</v>
      </c>
      <c r="J9" s="7" t="s">
        <v>164</v>
      </c>
      <c r="K9" s="7" t="s">
        <v>165</v>
      </c>
      <c r="L9" s="3" t="s">
        <v>27</v>
      </c>
      <c r="M9" s="3" t="s">
        <v>23</v>
      </c>
      <c r="N9" s="3">
        <v>3005071000</v>
      </c>
      <c r="O9" s="3" t="s">
        <v>24</v>
      </c>
      <c r="P9" s="6" t="s">
        <v>176</v>
      </c>
      <c r="Q9" s="6" t="s">
        <v>177</v>
      </c>
      <c r="R9" s="6" t="s">
        <v>176</v>
      </c>
      <c r="S9" s="6" t="s">
        <v>177</v>
      </c>
      <c r="T9" s="6" t="s">
        <v>176</v>
      </c>
      <c r="U9" s="6" t="s">
        <v>177</v>
      </c>
      <c r="V9" s="6" t="s">
        <v>176</v>
      </c>
      <c r="W9" s="6" t="s">
        <v>177</v>
      </c>
      <c r="X9" s="6" t="s">
        <v>176</v>
      </c>
      <c r="Y9" s="6" t="s">
        <v>177</v>
      </c>
      <c r="Z9" s="6" t="s">
        <v>176</v>
      </c>
      <c r="AA9" s="6" t="s">
        <v>177</v>
      </c>
      <c r="AB9" s="6" t="s">
        <v>176</v>
      </c>
      <c r="AC9" s="6" t="s">
        <v>177</v>
      </c>
      <c r="AF9" s="13" t="s">
        <v>270</v>
      </c>
      <c r="AG9" s="13"/>
      <c r="AH9" s="13"/>
      <c r="AI9" s="13"/>
      <c r="AJ9" s="13"/>
      <c r="AK9" s="13"/>
      <c r="AL9" s="13"/>
    </row>
    <row r="10" spans="1:38" x14ac:dyDescent="0.2">
      <c r="A10" s="3">
        <v>9</v>
      </c>
      <c r="B10" s="3" t="s">
        <v>26</v>
      </c>
      <c r="C10" s="3" t="s">
        <v>25</v>
      </c>
      <c r="D10" s="4" t="s">
        <v>35</v>
      </c>
      <c r="E10" s="3">
        <v>6</v>
      </c>
      <c r="F10" s="2" t="s">
        <v>35</v>
      </c>
      <c r="G10" s="3">
        <v>51</v>
      </c>
      <c r="H10" s="5">
        <f t="shared" si="0"/>
        <v>51</v>
      </c>
      <c r="I10" s="2" t="s">
        <v>114</v>
      </c>
      <c r="J10" s="7" t="s">
        <v>166</v>
      </c>
      <c r="K10" s="7" t="s">
        <v>167</v>
      </c>
      <c r="L10" s="3" t="s">
        <v>27</v>
      </c>
      <c r="M10" s="3" t="s">
        <v>23</v>
      </c>
      <c r="N10" s="3">
        <v>3005071000</v>
      </c>
      <c r="O10" s="3" t="s">
        <v>24</v>
      </c>
      <c r="P10" s="6" t="s">
        <v>176</v>
      </c>
      <c r="Q10" s="6" t="s">
        <v>177</v>
      </c>
      <c r="R10" s="6" t="s">
        <v>176</v>
      </c>
      <c r="S10" s="6" t="s">
        <v>177</v>
      </c>
      <c r="T10" s="6" t="s">
        <v>176</v>
      </c>
      <c r="U10" s="6" t="s">
        <v>177</v>
      </c>
      <c r="V10" s="6" t="s">
        <v>176</v>
      </c>
      <c r="W10" s="6" t="s">
        <v>177</v>
      </c>
      <c r="X10" s="6" t="s">
        <v>176</v>
      </c>
      <c r="Y10" s="6" t="s">
        <v>177</v>
      </c>
      <c r="Z10" s="6" t="s">
        <v>176</v>
      </c>
      <c r="AA10" s="6" t="s">
        <v>177</v>
      </c>
      <c r="AB10" s="6" t="s">
        <v>176</v>
      </c>
      <c r="AC10" s="6" t="s">
        <v>177</v>
      </c>
      <c r="AF10" s="13" t="s">
        <v>271</v>
      </c>
      <c r="AG10" s="13"/>
      <c r="AH10" s="13"/>
      <c r="AI10" s="13"/>
      <c r="AJ10" s="13"/>
      <c r="AK10" s="13"/>
      <c r="AL10" s="13"/>
    </row>
    <row r="11" spans="1:38" x14ac:dyDescent="0.2">
      <c r="A11" s="3">
        <v>10</v>
      </c>
      <c r="B11" s="3" t="s">
        <v>26</v>
      </c>
      <c r="C11" s="3" t="s">
        <v>25</v>
      </c>
      <c r="D11" s="4" t="s">
        <v>36</v>
      </c>
      <c r="E11" s="3">
        <v>7</v>
      </c>
      <c r="F11" s="2" t="s">
        <v>66</v>
      </c>
      <c r="G11" s="3">
        <v>74</v>
      </c>
      <c r="H11" s="5">
        <f t="shared" si="0"/>
        <v>74</v>
      </c>
      <c r="I11" s="2" t="s">
        <v>113</v>
      </c>
      <c r="J11" s="7" t="s">
        <v>168</v>
      </c>
      <c r="K11" s="7" t="s">
        <v>169</v>
      </c>
      <c r="L11" s="3" t="s">
        <v>27</v>
      </c>
      <c r="M11" s="3" t="s">
        <v>23</v>
      </c>
      <c r="N11" s="3">
        <v>3005071000</v>
      </c>
      <c r="O11" s="3" t="s">
        <v>24</v>
      </c>
      <c r="P11" s="6" t="s">
        <v>176</v>
      </c>
      <c r="Q11" s="6" t="s">
        <v>177</v>
      </c>
      <c r="R11" s="6" t="s">
        <v>176</v>
      </c>
      <c r="S11" s="6" t="s">
        <v>177</v>
      </c>
      <c r="T11" s="6" t="s">
        <v>176</v>
      </c>
      <c r="U11" s="6" t="s">
        <v>177</v>
      </c>
      <c r="V11" s="6" t="s">
        <v>176</v>
      </c>
      <c r="W11" s="6" t="s">
        <v>177</v>
      </c>
      <c r="X11" s="6" t="s">
        <v>176</v>
      </c>
      <c r="Y11" s="6" t="s">
        <v>177</v>
      </c>
      <c r="Z11" s="6" t="s">
        <v>176</v>
      </c>
      <c r="AA11" s="6" t="s">
        <v>177</v>
      </c>
      <c r="AB11" s="6" t="s">
        <v>176</v>
      </c>
      <c r="AC11" s="6" t="s">
        <v>177</v>
      </c>
      <c r="AF11" s="13" t="s">
        <v>272</v>
      </c>
      <c r="AG11" s="13"/>
      <c r="AH11" s="13"/>
      <c r="AI11" s="13"/>
      <c r="AJ11" s="13"/>
      <c r="AK11" s="13"/>
      <c r="AL11" s="13"/>
    </row>
    <row r="12" spans="1:38" x14ac:dyDescent="0.2">
      <c r="A12" s="3">
        <v>11</v>
      </c>
      <c r="B12" s="3" t="s">
        <v>26</v>
      </c>
      <c r="C12" s="3" t="s">
        <v>25</v>
      </c>
      <c r="D12" s="4" t="s">
        <v>36</v>
      </c>
      <c r="E12" s="3">
        <v>7</v>
      </c>
      <c r="F12" s="2" t="s">
        <v>64</v>
      </c>
      <c r="G12" s="3">
        <v>17</v>
      </c>
      <c r="H12" s="5">
        <f t="shared" si="0"/>
        <v>17</v>
      </c>
      <c r="I12" s="2" t="s">
        <v>112</v>
      </c>
      <c r="J12" s="7" t="s">
        <v>170</v>
      </c>
      <c r="K12" s="7" t="s">
        <v>171</v>
      </c>
      <c r="L12" s="3" t="s">
        <v>27</v>
      </c>
      <c r="M12" s="3" t="s">
        <v>23</v>
      </c>
      <c r="N12" s="3">
        <v>3005071000</v>
      </c>
      <c r="O12" s="3" t="s">
        <v>24</v>
      </c>
      <c r="P12" s="6" t="s">
        <v>176</v>
      </c>
      <c r="Q12" s="6" t="s">
        <v>177</v>
      </c>
      <c r="R12" s="6" t="s">
        <v>176</v>
      </c>
      <c r="S12" s="6" t="s">
        <v>177</v>
      </c>
      <c r="T12" s="6" t="s">
        <v>176</v>
      </c>
      <c r="U12" s="6" t="s">
        <v>177</v>
      </c>
      <c r="V12" s="6" t="s">
        <v>176</v>
      </c>
      <c r="W12" s="6" t="s">
        <v>177</v>
      </c>
      <c r="X12" s="6" t="s">
        <v>176</v>
      </c>
      <c r="Y12" s="6" t="s">
        <v>177</v>
      </c>
      <c r="Z12" s="6" t="s">
        <v>176</v>
      </c>
      <c r="AA12" s="6" t="s">
        <v>177</v>
      </c>
      <c r="AB12" s="6" t="s">
        <v>176</v>
      </c>
      <c r="AC12" s="6" t="s">
        <v>177</v>
      </c>
      <c r="AF12" s="13" t="s">
        <v>273</v>
      </c>
      <c r="AG12" s="13"/>
      <c r="AH12" s="13"/>
      <c r="AI12" s="13"/>
      <c r="AJ12" s="13"/>
      <c r="AK12" s="13"/>
      <c r="AL12" s="13"/>
    </row>
    <row r="13" spans="1:38" x14ac:dyDescent="0.2">
      <c r="A13" s="3">
        <v>12</v>
      </c>
      <c r="B13" s="3" t="s">
        <v>26</v>
      </c>
      <c r="C13" s="3" t="s">
        <v>25</v>
      </c>
      <c r="D13" s="4" t="s">
        <v>36</v>
      </c>
      <c r="E13" s="3">
        <v>7</v>
      </c>
      <c r="F13" s="2" t="s">
        <v>65</v>
      </c>
      <c r="G13" s="3">
        <v>19</v>
      </c>
      <c r="H13" s="5">
        <f t="shared" si="0"/>
        <v>19</v>
      </c>
      <c r="I13" s="2" t="s">
        <v>115</v>
      </c>
      <c r="J13" s="7" t="s">
        <v>172</v>
      </c>
      <c r="K13" s="7" t="s">
        <v>173</v>
      </c>
      <c r="L13" s="3" t="s">
        <v>27</v>
      </c>
      <c r="M13" s="3" t="s">
        <v>23</v>
      </c>
      <c r="N13" s="3">
        <v>3005071000</v>
      </c>
      <c r="O13" s="3" t="s">
        <v>24</v>
      </c>
      <c r="P13" s="6" t="s">
        <v>176</v>
      </c>
      <c r="Q13" s="6" t="s">
        <v>177</v>
      </c>
      <c r="R13" s="6" t="s">
        <v>176</v>
      </c>
      <c r="S13" s="6" t="s">
        <v>177</v>
      </c>
      <c r="T13" s="6" t="s">
        <v>176</v>
      </c>
      <c r="U13" s="6" t="s">
        <v>177</v>
      </c>
      <c r="V13" s="6" t="s">
        <v>176</v>
      </c>
      <c r="W13" s="6" t="s">
        <v>177</v>
      </c>
      <c r="X13" s="6" t="s">
        <v>176</v>
      </c>
      <c r="Y13" s="6" t="s">
        <v>177</v>
      </c>
      <c r="Z13" s="6" t="s">
        <v>176</v>
      </c>
      <c r="AA13" s="6" t="s">
        <v>177</v>
      </c>
      <c r="AB13" s="6" t="s">
        <v>176</v>
      </c>
      <c r="AC13" s="6" t="s">
        <v>177</v>
      </c>
      <c r="AF13" s="13" t="s">
        <v>274</v>
      </c>
      <c r="AG13" s="13"/>
      <c r="AH13" s="13"/>
      <c r="AI13" s="13"/>
      <c r="AJ13" s="13"/>
      <c r="AK13" s="13"/>
      <c r="AL13" s="13"/>
    </row>
    <row r="14" spans="1:38" x14ac:dyDescent="0.2">
      <c r="A14" s="3">
        <v>13</v>
      </c>
      <c r="B14" s="3" t="s">
        <v>26</v>
      </c>
      <c r="C14" s="3" t="s">
        <v>25</v>
      </c>
      <c r="D14" s="4" t="s">
        <v>37</v>
      </c>
      <c r="E14" s="3">
        <v>8</v>
      </c>
      <c r="F14" s="2" t="s">
        <v>67</v>
      </c>
      <c r="G14" s="3">
        <v>16</v>
      </c>
      <c r="H14" s="5">
        <f t="shared" si="0"/>
        <v>16</v>
      </c>
      <c r="I14" s="2" t="s">
        <v>111</v>
      </c>
      <c r="J14" s="7" t="s">
        <v>178</v>
      </c>
      <c r="K14" s="7" t="s">
        <v>179</v>
      </c>
      <c r="L14" s="3" t="s">
        <v>27</v>
      </c>
      <c r="M14" s="3" t="s">
        <v>23</v>
      </c>
      <c r="N14" s="3">
        <v>3005071000</v>
      </c>
      <c r="O14" s="3" t="s">
        <v>24</v>
      </c>
      <c r="P14" s="6" t="s">
        <v>176</v>
      </c>
      <c r="Q14" s="6" t="s">
        <v>177</v>
      </c>
      <c r="R14" s="6" t="s">
        <v>176</v>
      </c>
      <c r="S14" s="6" t="s">
        <v>177</v>
      </c>
      <c r="T14" s="6" t="s">
        <v>176</v>
      </c>
      <c r="U14" s="6" t="s">
        <v>177</v>
      </c>
      <c r="V14" s="6" t="s">
        <v>176</v>
      </c>
      <c r="W14" s="6" t="s">
        <v>177</v>
      </c>
      <c r="X14" s="6" t="s">
        <v>176</v>
      </c>
      <c r="Y14" s="6" t="s">
        <v>177</v>
      </c>
      <c r="Z14" s="6" t="s">
        <v>176</v>
      </c>
      <c r="AA14" s="6" t="s">
        <v>177</v>
      </c>
      <c r="AB14" s="6" t="s">
        <v>176</v>
      </c>
      <c r="AC14" s="6" t="s">
        <v>177</v>
      </c>
      <c r="AF14" s="13" t="s">
        <v>275</v>
      </c>
      <c r="AG14" s="13"/>
      <c r="AH14" s="13"/>
      <c r="AI14" s="13"/>
      <c r="AJ14" s="13"/>
      <c r="AK14" s="13"/>
      <c r="AL14" s="13"/>
    </row>
    <row r="15" spans="1:38" x14ac:dyDescent="0.2">
      <c r="A15" s="3">
        <v>14</v>
      </c>
      <c r="B15" s="3" t="s">
        <v>26</v>
      </c>
      <c r="C15" s="3" t="s">
        <v>25</v>
      </c>
      <c r="D15" s="4" t="s">
        <v>38</v>
      </c>
      <c r="E15" s="3">
        <v>9</v>
      </c>
      <c r="F15" s="2" t="s">
        <v>38</v>
      </c>
      <c r="G15" s="3">
        <v>9</v>
      </c>
      <c r="H15" s="5">
        <f t="shared" si="0"/>
        <v>9</v>
      </c>
      <c r="I15" s="2" t="s">
        <v>110</v>
      </c>
      <c r="J15" s="7" t="s">
        <v>180</v>
      </c>
      <c r="K15" s="7" t="s">
        <v>181</v>
      </c>
      <c r="L15" s="3" t="s">
        <v>27</v>
      </c>
      <c r="M15" s="3" t="s">
        <v>23</v>
      </c>
      <c r="N15" s="3">
        <v>3005071000</v>
      </c>
      <c r="O15" s="3" t="s">
        <v>24</v>
      </c>
      <c r="P15" s="6" t="s">
        <v>176</v>
      </c>
      <c r="Q15" s="6" t="s">
        <v>177</v>
      </c>
      <c r="R15" s="6" t="s">
        <v>176</v>
      </c>
      <c r="S15" s="6" t="s">
        <v>177</v>
      </c>
      <c r="T15" s="6" t="s">
        <v>176</v>
      </c>
      <c r="U15" s="6" t="s">
        <v>177</v>
      </c>
      <c r="V15" s="6" t="s">
        <v>176</v>
      </c>
      <c r="W15" s="6" t="s">
        <v>177</v>
      </c>
      <c r="X15" s="6" t="s">
        <v>176</v>
      </c>
      <c r="Y15" s="6" t="s">
        <v>177</v>
      </c>
      <c r="Z15" s="6" t="s">
        <v>176</v>
      </c>
      <c r="AA15" s="6" t="s">
        <v>177</v>
      </c>
      <c r="AB15" s="6" t="s">
        <v>176</v>
      </c>
      <c r="AC15" s="6" t="s">
        <v>177</v>
      </c>
      <c r="AF15" s="13" t="s">
        <v>276</v>
      </c>
      <c r="AG15" s="13"/>
      <c r="AH15" s="13"/>
      <c r="AI15" s="13"/>
      <c r="AJ15" s="13"/>
      <c r="AK15" s="13"/>
      <c r="AL15" s="13"/>
    </row>
    <row r="16" spans="1:38" x14ac:dyDescent="0.2">
      <c r="A16" s="3">
        <v>15</v>
      </c>
      <c r="B16" s="3" t="s">
        <v>26</v>
      </c>
      <c r="C16" s="3" t="s">
        <v>25</v>
      </c>
      <c r="D16" s="4" t="s">
        <v>39</v>
      </c>
      <c r="E16" s="3">
        <v>10</v>
      </c>
      <c r="F16" s="2" t="s">
        <v>39</v>
      </c>
      <c r="G16" s="3">
        <v>63</v>
      </c>
      <c r="H16" s="5">
        <f t="shared" si="0"/>
        <v>63</v>
      </c>
      <c r="I16" s="2" t="s">
        <v>109</v>
      </c>
      <c r="J16" s="7" t="s">
        <v>182</v>
      </c>
      <c r="K16" s="7" t="s">
        <v>183</v>
      </c>
      <c r="L16" s="3" t="s">
        <v>27</v>
      </c>
      <c r="M16" s="3" t="s">
        <v>23</v>
      </c>
      <c r="N16" s="3">
        <v>3005071000</v>
      </c>
      <c r="O16" s="3" t="s">
        <v>24</v>
      </c>
      <c r="P16" s="6" t="s">
        <v>176</v>
      </c>
      <c r="Q16" s="6" t="s">
        <v>177</v>
      </c>
      <c r="R16" s="6" t="s">
        <v>176</v>
      </c>
      <c r="S16" s="6" t="s">
        <v>177</v>
      </c>
      <c r="T16" s="6" t="s">
        <v>176</v>
      </c>
      <c r="U16" s="6" t="s">
        <v>177</v>
      </c>
      <c r="V16" s="6" t="s">
        <v>176</v>
      </c>
      <c r="W16" s="6" t="s">
        <v>177</v>
      </c>
      <c r="X16" s="6" t="s">
        <v>176</v>
      </c>
      <c r="Y16" s="6" t="s">
        <v>177</v>
      </c>
      <c r="Z16" s="6" t="s">
        <v>176</v>
      </c>
      <c r="AA16" s="6" t="s">
        <v>177</v>
      </c>
      <c r="AB16" s="6" t="s">
        <v>176</v>
      </c>
      <c r="AC16" s="6" t="s">
        <v>177</v>
      </c>
      <c r="AF16" s="13" t="s">
        <v>277</v>
      </c>
      <c r="AG16" s="13"/>
      <c r="AH16" s="13"/>
      <c r="AI16" s="13"/>
      <c r="AJ16" s="13"/>
      <c r="AK16" s="13"/>
      <c r="AL16" s="13"/>
    </row>
    <row r="17" spans="1:38" x14ac:dyDescent="0.2">
      <c r="A17" s="3">
        <v>16</v>
      </c>
      <c r="B17" s="3" t="s">
        <v>26</v>
      </c>
      <c r="C17" s="3" t="s">
        <v>25</v>
      </c>
      <c r="D17" s="4" t="s">
        <v>40</v>
      </c>
      <c r="E17" s="3">
        <v>11</v>
      </c>
      <c r="F17" s="2" t="s">
        <v>40</v>
      </c>
      <c r="G17" s="3">
        <v>15</v>
      </c>
      <c r="H17" s="5">
        <f t="shared" si="0"/>
        <v>15</v>
      </c>
      <c r="I17" s="2" t="s">
        <v>108</v>
      </c>
      <c r="J17" s="7" t="s">
        <v>184</v>
      </c>
      <c r="K17" s="7" t="s">
        <v>185</v>
      </c>
      <c r="L17" s="3" t="s">
        <v>27</v>
      </c>
      <c r="M17" s="3" t="s">
        <v>23</v>
      </c>
      <c r="N17" s="3">
        <v>3005071000</v>
      </c>
      <c r="O17" s="3" t="s">
        <v>24</v>
      </c>
      <c r="P17" s="6" t="s">
        <v>176</v>
      </c>
      <c r="Q17" s="6" t="s">
        <v>177</v>
      </c>
      <c r="R17" s="6" t="s">
        <v>176</v>
      </c>
      <c r="S17" s="6" t="s">
        <v>177</v>
      </c>
      <c r="T17" s="6" t="s">
        <v>176</v>
      </c>
      <c r="U17" s="6" t="s">
        <v>177</v>
      </c>
      <c r="V17" s="6" t="s">
        <v>176</v>
      </c>
      <c r="W17" s="6" t="s">
        <v>177</v>
      </c>
      <c r="X17" s="6" t="s">
        <v>176</v>
      </c>
      <c r="Y17" s="6" t="s">
        <v>177</v>
      </c>
      <c r="Z17" s="6" t="s">
        <v>176</v>
      </c>
      <c r="AA17" s="6" t="s">
        <v>177</v>
      </c>
      <c r="AB17" s="6" t="s">
        <v>176</v>
      </c>
      <c r="AC17" s="6" t="s">
        <v>177</v>
      </c>
      <c r="AF17" s="13" t="s">
        <v>278</v>
      </c>
      <c r="AG17" s="13"/>
      <c r="AH17" s="13"/>
      <c r="AI17" s="13"/>
      <c r="AJ17" s="13"/>
      <c r="AK17" s="13"/>
      <c r="AL17" s="13"/>
    </row>
    <row r="18" spans="1:38" x14ac:dyDescent="0.2">
      <c r="A18" s="3">
        <v>17</v>
      </c>
      <c r="B18" s="3" t="s">
        <v>26</v>
      </c>
      <c r="C18" s="3" t="s">
        <v>25</v>
      </c>
      <c r="D18" s="4" t="s">
        <v>41</v>
      </c>
      <c r="E18" s="3">
        <v>12</v>
      </c>
      <c r="F18" s="2" t="s">
        <v>41</v>
      </c>
      <c r="G18" s="3">
        <v>20</v>
      </c>
      <c r="H18" s="5">
        <f t="shared" si="0"/>
        <v>20</v>
      </c>
      <c r="I18" s="2" t="s">
        <v>118</v>
      </c>
      <c r="J18" s="7" t="s">
        <v>186</v>
      </c>
      <c r="K18" s="7" t="s">
        <v>187</v>
      </c>
      <c r="L18" s="3" t="s">
        <v>27</v>
      </c>
      <c r="M18" s="3" t="s">
        <v>23</v>
      </c>
      <c r="N18" s="3">
        <v>3005071000</v>
      </c>
      <c r="O18" s="3" t="s">
        <v>24</v>
      </c>
      <c r="P18" s="6" t="s">
        <v>176</v>
      </c>
      <c r="Q18" s="6" t="s">
        <v>177</v>
      </c>
      <c r="R18" s="6" t="s">
        <v>176</v>
      </c>
      <c r="S18" s="6" t="s">
        <v>177</v>
      </c>
      <c r="T18" s="6" t="s">
        <v>176</v>
      </c>
      <c r="U18" s="6" t="s">
        <v>177</v>
      </c>
      <c r="V18" s="6" t="s">
        <v>176</v>
      </c>
      <c r="W18" s="6" t="s">
        <v>177</v>
      </c>
      <c r="X18" s="6" t="s">
        <v>176</v>
      </c>
      <c r="Y18" s="6" t="s">
        <v>177</v>
      </c>
      <c r="Z18" s="6" t="s">
        <v>176</v>
      </c>
      <c r="AA18" s="6" t="s">
        <v>177</v>
      </c>
      <c r="AB18" s="6" t="s">
        <v>176</v>
      </c>
      <c r="AC18" s="6" t="s">
        <v>177</v>
      </c>
      <c r="AF18" s="13" t="s">
        <v>279</v>
      </c>
      <c r="AG18" s="13"/>
      <c r="AH18" s="13"/>
      <c r="AI18" s="13"/>
      <c r="AJ18" s="13"/>
      <c r="AK18" s="13"/>
      <c r="AL18" s="13"/>
    </row>
    <row r="19" spans="1:38" x14ac:dyDescent="0.2">
      <c r="A19" s="3">
        <v>18</v>
      </c>
      <c r="B19" s="3" t="s">
        <v>26</v>
      </c>
      <c r="C19" s="3" t="s">
        <v>25</v>
      </c>
      <c r="D19" s="4" t="s">
        <v>42</v>
      </c>
      <c r="E19" s="3">
        <v>13</v>
      </c>
      <c r="F19" s="2" t="s">
        <v>68</v>
      </c>
      <c r="G19" s="3">
        <v>2</v>
      </c>
      <c r="H19" s="5">
        <f t="shared" si="0"/>
        <v>2</v>
      </c>
      <c r="I19" s="2" t="s">
        <v>119</v>
      </c>
      <c r="J19" s="7" t="s">
        <v>188</v>
      </c>
      <c r="K19" s="7" t="s">
        <v>189</v>
      </c>
      <c r="L19" s="3" t="s">
        <v>27</v>
      </c>
      <c r="M19" s="3" t="s">
        <v>23</v>
      </c>
      <c r="N19" s="3">
        <v>3005071000</v>
      </c>
      <c r="O19" s="3" t="s">
        <v>24</v>
      </c>
      <c r="P19" s="6" t="s">
        <v>176</v>
      </c>
      <c r="Q19" s="6" t="s">
        <v>177</v>
      </c>
      <c r="R19" s="6" t="s">
        <v>176</v>
      </c>
      <c r="S19" s="6" t="s">
        <v>177</v>
      </c>
      <c r="T19" s="6" t="s">
        <v>176</v>
      </c>
      <c r="U19" s="6" t="s">
        <v>177</v>
      </c>
      <c r="V19" s="6" t="s">
        <v>176</v>
      </c>
      <c r="W19" s="6" t="s">
        <v>177</v>
      </c>
      <c r="X19" s="6" t="s">
        <v>176</v>
      </c>
      <c r="Y19" s="6" t="s">
        <v>177</v>
      </c>
      <c r="Z19" s="6" t="s">
        <v>176</v>
      </c>
      <c r="AA19" s="6" t="s">
        <v>177</v>
      </c>
      <c r="AB19" s="6" t="s">
        <v>176</v>
      </c>
      <c r="AC19" s="6" t="s">
        <v>177</v>
      </c>
      <c r="AF19" s="13" t="s">
        <v>280</v>
      </c>
      <c r="AG19" s="13"/>
      <c r="AH19" s="13"/>
      <c r="AI19" s="13"/>
      <c r="AJ19" s="13"/>
      <c r="AK19" s="13"/>
      <c r="AL19" s="13"/>
    </row>
    <row r="20" spans="1:38" x14ac:dyDescent="0.2">
      <c r="A20" s="3">
        <v>19</v>
      </c>
      <c r="B20" s="3" t="s">
        <v>26</v>
      </c>
      <c r="C20" s="3" t="s">
        <v>25</v>
      </c>
      <c r="D20" s="4" t="s">
        <v>42</v>
      </c>
      <c r="E20" s="3">
        <v>13</v>
      </c>
      <c r="F20" s="2" t="s">
        <v>69</v>
      </c>
      <c r="G20" s="3">
        <v>7</v>
      </c>
      <c r="H20" s="5">
        <f t="shared" si="0"/>
        <v>7</v>
      </c>
      <c r="I20" s="2" t="s">
        <v>120</v>
      </c>
      <c r="J20" s="7" t="s">
        <v>190</v>
      </c>
      <c r="K20" s="7" t="s">
        <v>191</v>
      </c>
      <c r="L20" s="3" t="s">
        <v>27</v>
      </c>
      <c r="M20" s="3" t="s">
        <v>23</v>
      </c>
      <c r="N20" s="3">
        <v>3005071000</v>
      </c>
      <c r="O20" s="3" t="s">
        <v>24</v>
      </c>
      <c r="P20" s="6" t="s">
        <v>176</v>
      </c>
      <c r="Q20" s="6" t="s">
        <v>177</v>
      </c>
      <c r="R20" s="6" t="s">
        <v>176</v>
      </c>
      <c r="S20" s="6" t="s">
        <v>177</v>
      </c>
      <c r="T20" s="6" t="s">
        <v>176</v>
      </c>
      <c r="U20" s="6" t="s">
        <v>177</v>
      </c>
      <c r="V20" s="6" t="s">
        <v>176</v>
      </c>
      <c r="W20" s="6" t="s">
        <v>177</v>
      </c>
      <c r="X20" s="6" t="s">
        <v>176</v>
      </c>
      <c r="Y20" s="6" t="s">
        <v>177</v>
      </c>
      <c r="Z20" s="6" t="s">
        <v>176</v>
      </c>
      <c r="AA20" s="6" t="s">
        <v>177</v>
      </c>
      <c r="AB20" s="6" t="s">
        <v>176</v>
      </c>
      <c r="AC20" s="6" t="s">
        <v>177</v>
      </c>
      <c r="AF20" s="13" t="s">
        <v>281</v>
      </c>
      <c r="AG20" s="13"/>
      <c r="AH20" s="13"/>
      <c r="AI20" s="13"/>
      <c r="AJ20" s="13"/>
      <c r="AK20" s="13"/>
      <c r="AL20" s="13"/>
    </row>
    <row r="21" spans="1:38" x14ac:dyDescent="0.2">
      <c r="A21" s="3">
        <v>20</v>
      </c>
      <c r="B21" s="3" t="s">
        <v>26</v>
      </c>
      <c r="C21" s="3" t="s">
        <v>25</v>
      </c>
      <c r="D21" s="4" t="s">
        <v>42</v>
      </c>
      <c r="E21" s="3">
        <v>13</v>
      </c>
      <c r="F21" s="2" t="s">
        <v>70</v>
      </c>
      <c r="G21" s="3">
        <v>29</v>
      </c>
      <c r="H21" s="5">
        <f t="shared" si="0"/>
        <v>29</v>
      </c>
      <c r="I21" s="2" t="s">
        <v>117</v>
      </c>
      <c r="J21" s="7" t="s">
        <v>192</v>
      </c>
      <c r="K21" s="7" t="s">
        <v>193</v>
      </c>
      <c r="L21" s="3" t="s">
        <v>27</v>
      </c>
      <c r="M21" s="3" t="s">
        <v>23</v>
      </c>
      <c r="N21" s="3">
        <v>3005071000</v>
      </c>
      <c r="O21" s="3" t="s">
        <v>24</v>
      </c>
      <c r="P21" s="6" t="s">
        <v>176</v>
      </c>
      <c r="Q21" s="6" t="s">
        <v>177</v>
      </c>
      <c r="R21" s="6" t="s">
        <v>176</v>
      </c>
      <c r="S21" s="6" t="s">
        <v>177</v>
      </c>
      <c r="T21" s="6" t="s">
        <v>176</v>
      </c>
      <c r="U21" s="6" t="s">
        <v>177</v>
      </c>
      <c r="V21" s="6" t="s">
        <v>176</v>
      </c>
      <c r="W21" s="6" t="s">
        <v>177</v>
      </c>
      <c r="X21" s="6" t="s">
        <v>176</v>
      </c>
      <c r="Y21" s="6" t="s">
        <v>177</v>
      </c>
      <c r="Z21" s="6" t="s">
        <v>176</v>
      </c>
      <c r="AA21" s="6" t="s">
        <v>177</v>
      </c>
      <c r="AB21" s="6" t="s">
        <v>176</v>
      </c>
      <c r="AC21" s="6" t="s">
        <v>177</v>
      </c>
      <c r="AF21" s="13" t="s">
        <v>282</v>
      </c>
      <c r="AG21" s="13"/>
      <c r="AH21" s="13"/>
      <c r="AI21" s="13"/>
      <c r="AJ21" s="13"/>
      <c r="AK21" s="13"/>
      <c r="AL21" s="13"/>
    </row>
    <row r="22" spans="1:38" x14ac:dyDescent="0.2">
      <c r="A22" s="3">
        <v>21</v>
      </c>
      <c r="B22" s="3" t="s">
        <v>26</v>
      </c>
      <c r="C22" s="3" t="s">
        <v>25</v>
      </c>
      <c r="D22" s="4" t="s">
        <v>42</v>
      </c>
      <c r="E22" s="3">
        <v>13</v>
      </c>
      <c r="F22" s="2" t="s">
        <v>71</v>
      </c>
      <c r="G22" s="3">
        <v>31</v>
      </c>
      <c r="H22" s="5">
        <f t="shared" si="0"/>
        <v>31</v>
      </c>
      <c r="I22" s="2" t="s">
        <v>121</v>
      </c>
      <c r="J22" s="7" t="s">
        <v>194</v>
      </c>
      <c r="K22" s="7" t="s">
        <v>195</v>
      </c>
      <c r="L22" s="3" t="s">
        <v>27</v>
      </c>
      <c r="M22" s="3" t="s">
        <v>23</v>
      </c>
      <c r="N22" s="3">
        <v>3005071000</v>
      </c>
      <c r="O22" s="3" t="s">
        <v>24</v>
      </c>
      <c r="P22" s="6" t="s">
        <v>176</v>
      </c>
      <c r="Q22" s="6" t="s">
        <v>177</v>
      </c>
      <c r="R22" s="6" t="s">
        <v>176</v>
      </c>
      <c r="S22" s="6" t="s">
        <v>177</v>
      </c>
      <c r="T22" s="6" t="s">
        <v>176</v>
      </c>
      <c r="U22" s="6" t="s">
        <v>177</v>
      </c>
      <c r="V22" s="6" t="s">
        <v>176</v>
      </c>
      <c r="W22" s="6" t="s">
        <v>177</v>
      </c>
      <c r="X22" s="6" t="s">
        <v>176</v>
      </c>
      <c r="Y22" s="6" t="s">
        <v>177</v>
      </c>
      <c r="Z22" s="6" t="s">
        <v>176</v>
      </c>
      <c r="AA22" s="6" t="s">
        <v>177</v>
      </c>
      <c r="AB22" s="6" t="s">
        <v>176</v>
      </c>
      <c r="AC22" s="6" t="s">
        <v>177</v>
      </c>
      <c r="AF22" s="13" t="s">
        <v>283</v>
      </c>
      <c r="AG22" s="13"/>
      <c r="AH22" s="13"/>
      <c r="AI22" s="13"/>
      <c r="AJ22" s="13"/>
      <c r="AK22" s="13"/>
      <c r="AL22" s="13"/>
    </row>
    <row r="23" spans="1:38" x14ac:dyDescent="0.2">
      <c r="A23" s="3">
        <v>22</v>
      </c>
      <c r="B23" s="3" t="s">
        <v>26</v>
      </c>
      <c r="C23" s="3" t="s">
        <v>25</v>
      </c>
      <c r="D23" s="4" t="s">
        <v>42</v>
      </c>
      <c r="E23" s="3">
        <v>13</v>
      </c>
      <c r="F23" s="2" t="s">
        <v>72</v>
      </c>
      <c r="G23" s="3">
        <v>33</v>
      </c>
      <c r="H23" s="5">
        <f t="shared" si="0"/>
        <v>33</v>
      </c>
      <c r="I23" s="2" t="s">
        <v>116</v>
      </c>
      <c r="J23" s="7" t="s">
        <v>196</v>
      </c>
      <c r="K23" s="7" t="s">
        <v>197</v>
      </c>
      <c r="L23" s="3" t="s">
        <v>27</v>
      </c>
      <c r="M23" s="3" t="s">
        <v>23</v>
      </c>
      <c r="N23" s="3">
        <v>3005071000</v>
      </c>
      <c r="O23" s="3" t="s">
        <v>24</v>
      </c>
      <c r="P23" s="6" t="s">
        <v>176</v>
      </c>
      <c r="Q23" s="6" t="s">
        <v>177</v>
      </c>
      <c r="R23" s="6" t="s">
        <v>176</v>
      </c>
      <c r="S23" s="6" t="s">
        <v>177</v>
      </c>
      <c r="T23" s="6" t="s">
        <v>176</v>
      </c>
      <c r="U23" s="6" t="s">
        <v>177</v>
      </c>
      <c r="V23" s="6" t="s">
        <v>176</v>
      </c>
      <c r="W23" s="6" t="s">
        <v>177</v>
      </c>
      <c r="X23" s="6" t="s">
        <v>176</v>
      </c>
      <c r="Y23" s="6" t="s">
        <v>177</v>
      </c>
      <c r="Z23" s="6" t="s">
        <v>176</v>
      </c>
      <c r="AA23" s="6" t="s">
        <v>177</v>
      </c>
      <c r="AB23" s="6" t="s">
        <v>176</v>
      </c>
      <c r="AC23" s="6" t="s">
        <v>177</v>
      </c>
      <c r="AF23" s="13" t="s">
        <v>284</v>
      </c>
      <c r="AG23" s="13"/>
      <c r="AH23" s="13"/>
      <c r="AI23" s="13"/>
      <c r="AJ23" s="13"/>
      <c r="AK23" s="13"/>
      <c r="AL23" s="13"/>
    </row>
    <row r="24" spans="1:38" x14ac:dyDescent="0.2">
      <c r="A24" s="3">
        <v>23</v>
      </c>
      <c r="B24" s="3" t="s">
        <v>26</v>
      </c>
      <c r="C24" s="3" t="s">
        <v>25</v>
      </c>
      <c r="D24" s="4" t="s">
        <v>42</v>
      </c>
      <c r="E24" s="3">
        <v>13</v>
      </c>
      <c r="F24" s="2" t="s">
        <v>73</v>
      </c>
      <c r="G24" s="3">
        <v>39</v>
      </c>
      <c r="H24" s="5">
        <f t="shared" si="0"/>
        <v>39</v>
      </c>
      <c r="I24" s="2" t="s">
        <v>126</v>
      </c>
      <c r="J24" s="7" t="s">
        <v>198</v>
      </c>
      <c r="K24" s="7" t="s">
        <v>199</v>
      </c>
      <c r="L24" s="3" t="s">
        <v>27</v>
      </c>
      <c r="M24" s="3" t="s">
        <v>23</v>
      </c>
      <c r="N24" s="3">
        <v>3005071000</v>
      </c>
      <c r="O24" s="3" t="s">
        <v>24</v>
      </c>
      <c r="P24" s="6" t="s">
        <v>176</v>
      </c>
      <c r="Q24" s="6" t="s">
        <v>177</v>
      </c>
      <c r="R24" s="6" t="s">
        <v>176</v>
      </c>
      <c r="S24" s="6" t="s">
        <v>177</v>
      </c>
      <c r="T24" s="6" t="s">
        <v>176</v>
      </c>
      <c r="U24" s="6" t="s">
        <v>177</v>
      </c>
      <c r="V24" s="6" t="s">
        <v>176</v>
      </c>
      <c r="W24" s="6" t="s">
        <v>177</v>
      </c>
      <c r="X24" s="6" t="s">
        <v>176</v>
      </c>
      <c r="Y24" s="6" t="s">
        <v>177</v>
      </c>
      <c r="Z24" s="6" t="s">
        <v>176</v>
      </c>
      <c r="AA24" s="6" t="s">
        <v>177</v>
      </c>
      <c r="AB24" s="6" t="s">
        <v>176</v>
      </c>
      <c r="AC24" s="6" t="s">
        <v>177</v>
      </c>
      <c r="AF24" s="13" t="s">
        <v>285</v>
      </c>
      <c r="AG24" s="13"/>
      <c r="AH24" s="13"/>
      <c r="AI24" s="13"/>
      <c r="AJ24" s="13"/>
      <c r="AK24" s="13"/>
      <c r="AL24" s="13"/>
    </row>
    <row r="25" spans="1:38" x14ac:dyDescent="0.2">
      <c r="A25" s="3">
        <v>24</v>
      </c>
      <c r="B25" s="3" t="s">
        <v>26</v>
      </c>
      <c r="C25" s="3" t="s">
        <v>25</v>
      </c>
      <c r="D25" s="4" t="s">
        <v>42</v>
      </c>
      <c r="E25" s="3">
        <v>13</v>
      </c>
      <c r="F25" s="2" t="s">
        <v>74</v>
      </c>
      <c r="G25" s="3">
        <v>41</v>
      </c>
      <c r="H25" s="5">
        <f t="shared" si="0"/>
        <v>41</v>
      </c>
      <c r="I25" s="2" t="s">
        <v>125</v>
      </c>
      <c r="J25" s="7" t="s">
        <v>200</v>
      </c>
      <c r="K25" s="7" t="s">
        <v>201</v>
      </c>
      <c r="L25" s="3" t="s">
        <v>27</v>
      </c>
      <c r="M25" s="3" t="s">
        <v>23</v>
      </c>
      <c r="N25" s="3">
        <v>3005071000</v>
      </c>
      <c r="O25" s="3" t="s">
        <v>24</v>
      </c>
      <c r="P25" s="6" t="s">
        <v>176</v>
      </c>
      <c r="Q25" s="6" t="s">
        <v>177</v>
      </c>
      <c r="R25" s="6" t="s">
        <v>176</v>
      </c>
      <c r="S25" s="6" t="s">
        <v>177</v>
      </c>
      <c r="T25" s="6" t="s">
        <v>176</v>
      </c>
      <c r="U25" s="6" t="s">
        <v>177</v>
      </c>
      <c r="V25" s="6" t="s">
        <v>176</v>
      </c>
      <c r="W25" s="6" t="s">
        <v>177</v>
      </c>
      <c r="X25" s="6" t="s">
        <v>176</v>
      </c>
      <c r="Y25" s="6" t="s">
        <v>177</v>
      </c>
      <c r="Z25" s="6" t="s">
        <v>176</v>
      </c>
      <c r="AA25" s="6" t="s">
        <v>177</v>
      </c>
      <c r="AB25" s="6" t="s">
        <v>176</v>
      </c>
      <c r="AC25" s="6" t="s">
        <v>177</v>
      </c>
      <c r="AF25" s="13" t="s">
        <v>286</v>
      </c>
      <c r="AG25" s="13"/>
      <c r="AH25" s="13"/>
      <c r="AI25" s="13"/>
      <c r="AJ25" s="13"/>
      <c r="AK25" s="13"/>
      <c r="AL25" s="13"/>
    </row>
    <row r="26" spans="1:38" x14ac:dyDescent="0.2">
      <c r="A26" s="3">
        <v>25</v>
      </c>
      <c r="B26" s="3" t="s">
        <v>26</v>
      </c>
      <c r="C26" s="3" t="s">
        <v>25</v>
      </c>
      <c r="D26" s="4" t="s">
        <v>42</v>
      </c>
      <c r="E26" s="3">
        <v>13</v>
      </c>
      <c r="F26" s="2" t="s">
        <v>75</v>
      </c>
      <c r="G26" s="3">
        <v>45</v>
      </c>
      <c r="H26" s="5">
        <f t="shared" si="0"/>
        <v>45</v>
      </c>
      <c r="I26" s="2" t="s">
        <v>124</v>
      </c>
      <c r="J26" s="7" t="s">
        <v>202</v>
      </c>
      <c r="K26" s="7" t="s">
        <v>203</v>
      </c>
      <c r="L26" s="3" t="s">
        <v>27</v>
      </c>
      <c r="M26" s="3" t="s">
        <v>23</v>
      </c>
      <c r="N26" s="3">
        <v>3005071000</v>
      </c>
      <c r="O26" s="3" t="s">
        <v>24</v>
      </c>
      <c r="P26" s="6" t="s">
        <v>176</v>
      </c>
      <c r="Q26" s="6" t="s">
        <v>177</v>
      </c>
      <c r="R26" s="6" t="s">
        <v>176</v>
      </c>
      <c r="S26" s="6" t="s">
        <v>177</v>
      </c>
      <c r="T26" s="6" t="s">
        <v>176</v>
      </c>
      <c r="U26" s="6" t="s">
        <v>177</v>
      </c>
      <c r="V26" s="6" t="s">
        <v>176</v>
      </c>
      <c r="W26" s="6" t="s">
        <v>177</v>
      </c>
      <c r="X26" s="6" t="s">
        <v>176</v>
      </c>
      <c r="Y26" s="6" t="s">
        <v>177</v>
      </c>
      <c r="Z26" s="6" t="s">
        <v>176</v>
      </c>
      <c r="AA26" s="6" t="s">
        <v>177</v>
      </c>
      <c r="AB26" s="6" t="s">
        <v>176</v>
      </c>
      <c r="AC26" s="6" t="s">
        <v>177</v>
      </c>
      <c r="AF26" s="13" t="s">
        <v>287</v>
      </c>
      <c r="AG26" s="13"/>
      <c r="AH26" s="13"/>
      <c r="AI26" s="13"/>
      <c r="AJ26" s="13"/>
      <c r="AK26" s="13"/>
      <c r="AL26" s="13"/>
    </row>
    <row r="27" spans="1:38" x14ac:dyDescent="0.2">
      <c r="A27" s="3">
        <v>26</v>
      </c>
      <c r="B27" s="3" t="s">
        <v>26</v>
      </c>
      <c r="C27" s="3" t="s">
        <v>25</v>
      </c>
      <c r="D27" s="4" t="s">
        <v>42</v>
      </c>
      <c r="E27" s="3">
        <v>13</v>
      </c>
      <c r="F27" s="2" t="s">
        <v>76</v>
      </c>
      <c r="G27" s="3">
        <v>48</v>
      </c>
      <c r="H27" s="5">
        <f t="shared" si="0"/>
        <v>48</v>
      </c>
      <c r="I27" s="2" t="s">
        <v>123</v>
      </c>
      <c r="J27" s="7" t="s">
        <v>204</v>
      </c>
      <c r="K27" s="7" t="s">
        <v>205</v>
      </c>
      <c r="L27" s="3" t="s">
        <v>27</v>
      </c>
      <c r="M27" s="3" t="s">
        <v>23</v>
      </c>
      <c r="N27" s="3">
        <v>3005071000</v>
      </c>
      <c r="O27" s="3" t="s">
        <v>24</v>
      </c>
      <c r="P27" s="6" t="s">
        <v>176</v>
      </c>
      <c r="Q27" s="6" t="s">
        <v>177</v>
      </c>
      <c r="R27" s="6" t="s">
        <v>176</v>
      </c>
      <c r="S27" s="6" t="s">
        <v>177</v>
      </c>
      <c r="T27" s="6" t="s">
        <v>176</v>
      </c>
      <c r="U27" s="6" t="s">
        <v>177</v>
      </c>
      <c r="V27" s="6" t="s">
        <v>176</v>
      </c>
      <c r="W27" s="6" t="s">
        <v>177</v>
      </c>
      <c r="X27" s="6" t="s">
        <v>176</v>
      </c>
      <c r="Y27" s="6" t="s">
        <v>177</v>
      </c>
      <c r="Z27" s="6" t="s">
        <v>176</v>
      </c>
      <c r="AA27" s="6" t="s">
        <v>177</v>
      </c>
      <c r="AB27" s="6" t="s">
        <v>176</v>
      </c>
      <c r="AC27" s="6" t="s">
        <v>177</v>
      </c>
      <c r="AF27" s="13" t="s">
        <v>288</v>
      </c>
      <c r="AG27" s="13"/>
      <c r="AH27" s="13"/>
      <c r="AI27" s="13"/>
      <c r="AJ27" s="13"/>
      <c r="AK27" s="13"/>
      <c r="AL27" s="13"/>
    </row>
    <row r="28" spans="1:38" x14ac:dyDescent="0.2">
      <c r="A28" s="3">
        <v>27</v>
      </c>
      <c r="B28" s="3" t="s">
        <v>26</v>
      </c>
      <c r="C28" s="3" t="s">
        <v>25</v>
      </c>
      <c r="D28" s="4" t="s">
        <v>42</v>
      </c>
      <c r="E28" s="3">
        <v>13</v>
      </c>
      <c r="F28" s="2" t="s">
        <v>77</v>
      </c>
      <c r="G28" s="3">
        <v>50</v>
      </c>
      <c r="H28" s="5">
        <f t="shared" si="0"/>
        <v>50</v>
      </c>
      <c r="I28" s="2" t="s">
        <v>122</v>
      </c>
      <c r="J28" s="7" t="s">
        <v>206</v>
      </c>
      <c r="K28" s="7" t="s">
        <v>207</v>
      </c>
      <c r="L28" s="3" t="s">
        <v>27</v>
      </c>
      <c r="M28" s="3" t="s">
        <v>23</v>
      </c>
      <c r="N28" s="3">
        <v>3005071000</v>
      </c>
      <c r="O28" s="3" t="s">
        <v>24</v>
      </c>
      <c r="P28" s="6" t="s">
        <v>176</v>
      </c>
      <c r="Q28" s="6" t="s">
        <v>177</v>
      </c>
      <c r="R28" s="6" t="s">
        <v>176</v>
      </c>
      <c r="S28" s="6" t="s">
        <v>177</v>
      </c>
      <c r="T28" s="6" t="s">
        <v>176</v>
      </c>
      <c r="U28" s="6" t="s">
        <v>177</v>
      </c>
      <c r="V28" s="6" t="s">
        <v>176</v>
      </c>
      <c r="W28" s="6" t="s">
        <v>177</v>
      </c>
      <c r="X28" s="6" t="s">
        <v>176</v>
      </c>
      <c r="Y28" s="6" t="s">
        <v>177</v>
      </c>
      <c r="Z28" s="6" t="s">
        <v>176</v>
      </c>
      <c r="AA28" s="6" t="s">
        <v>177</v>
      </c>
      <c r="AB28" s="6" t="s">
        <v>176</v>
      </c>
      <c r="AC28" s="6" t="s">
        <v>177</v>
      </c>
      <c r="AF28" s="13" t="s">
        <v>289</v>
      </c>
      <c r="AG28" s="13"/>
      <c r="AH28" s="13"/>
      <c r="AI28" s="13"/>
      <c r="AJ28" s="13"/>
      <c r="AK28" s="13"/>
      <c r="AL28" s="13"/>
    </row>
    <row r="29" spans="1:38" x14ac:dyDescent="0.2">
      <c r="A29" s="3">
        <v>28</v>
      </c>
      <c r="B29" s="3" t="s">
        <v>26</v>
      </c>
      <c r="C29" s="3" t="s">
        <v>25</v>
      </c>
      <c r="D29" s="4" t="s">
        <v>42</v>
      </c>
      <c r="E29" s="3">
        <v>13</v>
      </c>
      <c r="F29" s="2" t="s">
        <v>78</v>
      </c>
      <c r="G29" s="3">
        <v>52</v>
      </c>
      <c r="H29" s="5">
        <f t="shared" si="0"/>
        <v>52</v>
      </c>
      <c r="I29" s="2" t="s">
        <v>133</v>
      </c>
      <c r="J29" s="7" t="s">
        <v>208</v>
      </c>
      <c r="K29" s="7" t="s">
        <v>209</v>
      </c>
      <c r="L29" s="3" t="s">
        <v>27</v>
      </c>
      <c r="M29" s="3" t="s">
        <v>23</v>
      </c>
      <c r="N29" s="3">
        <v>3005071000</v>
      </c>
      <c r="O29" s="3" t="s">
        <v>24</v>
      </c>
      <c r="P29" s="6" t="s">
        <v>176</v>
      </c>
      <c r="Q29" s="6" t="s">
        <v>177</v>
      </c>
      <c r="R29" s="6" t="s">
        <v>176</v>
      </c>
      <c r="S29" s="6" t="s">
        <v>177</v>
      </c>
      <c r="T29" s="6" t="s">
        <v>176</v>
      </c>
      <c r="U29" s="6" t="s">
        <v>177</v>
      </c>
      <c r="V29" s="6" t="s">
        <v>176</v>
      </c>
      <c r="W29" s="6" t="s">
        <v>177</v>
      </c>
      <c r="X29" s="6" t="s">
        <v>176</v>
      </c>
      <c r="Y29" s="6" t="s">
        <v>177</v>
      </c>
      <c r="Z29" s="6" t="s">
        <v>176</v>
      </c>
      <c r="AA29" s="6" t="s">
        <v>177</v>
      </c>
      <c r="AB29" s="6" t="s">
        <v>176</v>
      </c>
      <c r="AC29" s="6" t="s">
        <v>177</v>
      </c>
      <c r="AF29" s="13" t="s">
        <v>290</v>
      </c>
      <c r="AG29" s="13"/>
      <c r="AH29" s="13"/>
      <c r="AI29" s="13"/>
      <c r="AJ29" s="13"/>
      <c r="AK29" s="13"/>
      <c r="AL29" s="13"/>
    </row>
    <row r="30" spans="1:38" x14ac:dyDescent="0.2">
      <c r="A30" s="3">
        <v>29</v>
      </c>
      <c r="B30" s="3" t="s">
        <v>26</v>
      </c>
      <c r="C30" s="3" t="s">
        <v>25</v>
      </c>
      <c r="D30" s="4" t="s">
        <v>42</v>
      </c>
      <c r="E30" s="3">
        <v>13</v>
      </c>
      <c r="F30" s="2" t="s">
        <v>79</v>
      </c>
      <c r="G30" s="3">
        <v>54</v>
      </c>
      <c r="H30" s="5">
        <f t="shared" si="0"/>
        <v>54</v>
      </c>
      <c r="I30" s="2" t="s">
        <v>132</v>
      </c>
      <c r="J30" s="7" t="s">
        <v>210</v>
      </c>
      <c r="K30" s="7" t="s">
        <v>211</v>
      </c>
      <c r="L30" s="3" t="s">
        <v>27</v>
      </c>
      <c r="M30" s="3" t="s">
        <v>23</v>
      </c>
      <c r="N30" s="3">
        <v>3005071000</v>
      </c>
      <c r="O30" s="3" t="s">
        <v>24</v>
      </c>
      <c r="P30" s="6" t="s">
        <v>176</v>
      </c>
      <c r="Q30" s="6" t="s">
        <v>177</v>
      </c>
      <c r="R30" s="6" t="s">
        <v>176</v>
      </c>
      <c r="S30" s="6" t="s">
        <v>177</v>
      </c>
      <c r="T30" s="6" t="s">
        <v>176</v>
      </c>
      <c r="U30" s="6" t="s">
        <v>177</v>
      </c>
      <c r="V30" s="6" t="s">
        <v>176</v>
      </c>
      <c r="W30" s="6" t="s">
        <v>177</v>
      </c>
      <c r="X30" s="6" t="s">
        <v>176</v>
      </c>
      <c r="Y30" s="6" t="s">
        <v>177</v>
      </c>
      <c r="Z30" s="6" t="s">
        <v>176</v>
      </c>
      <c r="AA30" s="6" t="s">
        <v>177</v>
      </c>
      <c r="AB30" s="6" t="s">
        <v>176</v>
      </c>
      <c r="AC30" s="6" t="s">
        <v>177</v>
      </c>
      <c r="AF30" s="13" t="s">
        <v>291</v>
      </c>
      <c r="AG30" s="13"/>
      <c r="AH30" s="13"/>
      <c r="AI30" s="13"/>
      <c r="AJ30" s="13"/>
      <c r="AK30" s="13"/>
      <c r="AL30" s="13"/>
    </row>
    <row r="31" spans="1:38" x14ac:dyDescent="0.2">
      <c r="A31" s="3">
        <v>30</v>
      </c>
      <c r="B31" s="3" t="s">
        <v>26</v>
      </c>
      <c r="C31" s="3" t="s">
        <v>25</v>
      </c>
      <c r="D31" s="4" t="s">
        <v>42</v>
      </c>
      <c r="E31" s="3">
        <v>13</v>
      </c>
      <c r="F31" s="2" t="s">
        <v>80</v>
      </c>
      <c r="G31" s="3">
        <v>56</v>
      </c>
      <c r="H31" s="5">
        <f t="shared" si="0"/>
        <v>56</v>
      </c>
      <c r="I31" s="2" t="s">
        <v>131</v>
      </c>
      <c r="J31" s="7" t="s">
        <v>212</v>
      </c>
      <c r="K31" s="7" t="s">
        <v>213</v>
      </c>
      <c r="L31" s="3" t="s">
        <v>27</v>
      </c>
      <c r="M31" s="3" t="s">
        <v>23</v>
      </c>
      <c r="N31" s="3">
        <v>3005071000</v>
      </c>
      <c r="O31" s="3" t="s">
        <v>24</v>
      </c>
      <c r="P31" s="6" t="s">
        <v>176</v>
      </c>
      <c r="Q31" s="6" t="s">
        <v>177</v>
      </c>
      <c r="R31" s="6" t="s">
        <v>176</v>
      </c>
      <c r="S31" s="6" t="s">
        <v>177</v>
      </c>
      <c r="T31" s="6" t="s">
        <v>176</v>
      </c>
      <c r="U31" s="6" t="s">
        <v>177</v>
      </c>
      <c r="V31" s="6" t="s">
        <v>176</v>
      </c>
      <c r="W31" s="6" t="s">
        <v>177</v>
      </c>
      <c r="X31" s="6" t="s">
        <v>176</v>
      </c>
      <c r="Y31" s="6" t="s">
        <v>177</v>
      </c>
      <c r="Z31" s="6" t="s">
        <v>176</v>
      </c>
      <c r="AA31" s="6" t="s">
        <v>177</v>
      </c>
      <c r="AB31" s="6" t="s">
        <v>176</v>
      </c>
      <c r="AC31" s="6" t="s">
        <v>177</v>
      </c>
      <c r="AF31" s="13" t="s">
        <v>292</v>
      </c>
      <c r="AG31" s="13"/>
      <c r="AH31" s="13"/>
      <c r="AI31" s="13"/>
      <c r="AJ31" s="13"/>
      <c r="AK31" s="13"/>
      <c r="AL31" s="13"/>
    </row>
    <row r="32" spans="1:38" x14ac:dyDescent="0.2">
      <c r="A32" s="3">
        <v>31</v>
      </c>
      <c r="B32" s="3" t="s">
        <v>26</v>
      </c>
      <c r="C32" s="3" t="s">
        <v>25</v>
      </c>
      <c r="D32" s="4" t="s">
        <v>42</v>
      </c>
      <c r="E32" s="3">
        <v>13</v>
      </c>
      <c r="F32" s="2" t="s">
        <v>81</v>
      </c>
      <c r="G32" s="3">
        <v>58</v>
      </c>
      <c r="H32" s="5">
        <f t="shared" si="0"/>
        <v>58</v>
      </c>
      <c r="I32" s="2" t="s">
        <v>130</v>
      </c>
      <c r="J32" s="7" t="s">
        <v>214</v>
      </c>
      <c r="K32" s="7" t="s">
        <v>215</v>
      </c>
      <c r="L32" s="3" t="s">
        <v>27</v>
      </c>
      <c r="M32" s="3" t="s">
        <v>23</v>
      </c>
      <c r="N32" s="3">
        <v>3005071000</v>
      </c>
      <c r="O32" s="3" t="s">
        <v>24</v>
      </c>
      <c r="P32" s="6" t="s">
        <v>176</v>
      </c>
      <c r="Q32" s="6" t="s">
        <v>177</v>
      </c>
      <c r="R32" s="6" t="s">
        <v>176</v>
      </c>
      <c r="S32" s="6" t="s">
        <v>177</v>
      </c>
      <c r="T32" s="6" t="s">
        <v>176</v>
      </c>
      <c r="U32" s="6" t="s">
        <v>177</v>
      </c>
      <c r="V32" s="6" t="s">
        <v>176</v>
      </c>
      <c r="W32" s="6" t="s">
        <v>177</v>
      </c>
      <c r="X32" s="6" t="s">
        <v>176</v>
      </c>
      <c r="Y32" s="6" t="s">
        <v>177</v>
      </c>
      <c r="Z32" s="6" t="s">
        <v>176</v>
      </c>
      <c r="AA32" s="6" t="s">
        <v>177</v>
      </c>
      <c r="AB32" s="6" t="s">
        <v>176</v>
      </c>
      <c r="AC32" s="6" t="s">
        <v>177</v>
      </c>
      <c r="AF32" s="13" t="s">
        <v>293</v>
      </c>
      <c r="AG32" s="13"/>
      <c r="AH32" s="13"/>
      <c r="AI32" s="13"/>
      <c r="AJ32" s="13"/>
      <c r="AK32" s="13"/>
      <c r="AL32" s="13"/>
    </row>
    <row r="33" spans="1:38" x14ac:dyDescent="0.2">
      <c r="A33" s="3">
        <v>32</v>
      </c>
      <c r="B33" s="3" t="s">
        <v>26</v>
      </c>
      <c r="C33" s="3" t="s">
        <v>25</v>
      </c>
      <c r="D33" s="4" t="s">
        <v>42</v>
      </c>
      <c r="E33" s="3">
        <v>13</v>
      </c>
      <c r="F33" s="2" t="s">
        <v>82</v>
      </c>
      <c r="G33" s="3">
        <v>59</v>
      </c>
      <c r="H33" s="5">
        <f t="shared" si="0"/>
        <v>59</v>
      </c>
      <c r="I33" s="2" t="s">
        <v>129</v>
      </c>
      <c r="J33" s="7" t="s">
        <v>216</v>
      </c>
      <c r="K33" s="7" t="s">
        <v>217</v>
      </c>
      <c r="L33" s="3" t="s">
        <v>27</v>
      </c>
      <c r="M33" s="3" t="s">
        <v>23</v>
      </c>
      <c r="N33" s="3">
        <v>3005071000</v>
      </c>
      <c r="O33" s="3" t="s">
        <v>24</v>
      </c>
      <c r="P33" s="6" t="s">
        <v>176</v>
      </c>
      <c r="Q33" s="6" t="s">
        <v>177</v>
      </c>
      <c r="R33" s="6" t="s">
        <v>176</v>
      </c>
      <c r="S33" s="6" t="s">
        <v>177</v>
      </c>
      <c r="T33" s="6" t="s">
        <v>176</v>
      </c>
      <c r="U33" s="6" t="s">
        <v>177</v>
      </c>
      <c r="V33" s="6" t="s">
        <v>176</v>
      </c>
      <c r="W33" s="6" t="s">
        <v>177</v>
      </c>
      <c r="X33" s="6" t="s">
        <v>176</v>
      </c>
      <c r="Y33" s="6" t="s">
        <v>177</v>
      </c>
      <c r="Z33" s="6" t="s">
        <v>176</v>
      </c>
      <c r="AA33" s="6" t="s">
        <v>177</v>
      </c>
      <c r="AB33" s="6" t="s">
        <v>176</v>
      </c>
      <c r="AC33" s="6" t="s">
        <v>177</v>
      </c>
      <c r="AF33" s="13" t="s">
        <v>294</v>
      </c>
      <c r="AG33" s="13"/>
      <c r="AH33" s="13"/>
      <c r="AI33" s="13"/>
      <c r="AJ33" s="13"/>
      <c r="AK33" s="13"/>
      <c r="AL33" s="13"/>
    </row>
    <row r="34" spans="1:38" x14ac:dyDescent="0.2">
      <c r="A34" s="3">
        <v>33</v>
      </c>
      <c r="B34" s="3" t="s">
        <v>26</v>
      </c>
      <c r="C34" s="3" t="s">
        <v>25</v>
      </c>
      <c r="D34" s="4" t="s">
        <v>42</v>
      </c>
      <c r="E34" s="3">
        <v>13</v>
      </c>
      <c r="F34" s="2" t="s">
        <v>83</v>
      </c>
      <c r="G34" s="3">
        <v>64</v>
      </c>
      <c r="H34" s="5">
        <f t="shared" si="0"/>
        <v>64</v>
      </c>
      <c r="I34" s="2" t="s">
        <v>128</v>
      </c>
      <c r="J34" s="7" t="s">
        <v>218</v>
      </c>
      <c r="K34" s="7" t="s">
        <v>219</v>
      </c>
      <c r="L34" s="3" t="s">
        <v>27</v>
      </c>
      <c r="M34" s="3" t="s">
        <v>23</v>
      </c>
      <c r="N34" s="3">
        <v>3005071000</v>
      </c>
      <c r="O34" s="3" t="s">
        <v>24</v>
      </c>
      <c r="P34" s="6" t="s">
        <v>176</v>
      </c>
      <c r="Q34" s="6" t="s">
        <v>177</v>
      </c>
      <c r="R34" s="6" t="s">
        <v>176</v>
      </c>
      <c r="S34" s="6" t="s">
        <v>177</v>
      </c>
      <c r="T34" s="6" t="s">
        <v>176</v>
      </c>
      <c r="U34" s="6" t="s">
        <v>177</v>
      </c>
      <c r="V34" s="6" t="s">
        <v>176</v>
      </c>
      <c r="W34" s="6" t="s">
        <v>177</v>
      </c>
      <c r="X34" s="6" t="s">
        <v>176</v>
      </c>
      <c r="Y34" s="6" t="s">
        <v>177</v>
      </c>
      <c r="Z34" s="6" t="s">
        <v>176</v>
      </c>
      <c r="AA34" s="6" t="s">
        <v>177</v>
      </c>
      <c r="AB34" s="6" t="s">
        <v>176</v>
      </c>
      <c r="AC34" s="6" t="s">
        <v>177</v>
      </c>
      <c r="AF34" s="13" t="s">
        <v>295</v>
      </c>
      <c r="AG34" s="13"/>
      <c r="AH34" s="13"/>
      <c r="AI34" s="13"/>
      <c r="AJ34" s="13"/>
      <c r="AK34" s="13"/>
      <c r="AL34" s="13"/>
    </row>
    <row r="35" spans="1:38" x14ac:dyDescent="0.2">
      <c r="A35" s="3">
        <v>34</v>
      </c>
      <c r="B35" s="3" t="s">
        <v>26</v>
      </c>
      <c r="C35" s="3" t="s">
        <v>25</v>
      </c>
      <c r="D35" s="4" t="s">
        <v>42</v>
      </c>
      <c r="E35" s="3">
        <v>13</v>
      </c>
      <c r="F35" s="2" t="s">
        <v>84</v>
      </c>
      <c r="G35" s="3">
        <v>65</v>
      </c>
      <c r="H35" s="5">
        <f t="shared" si="0"/>
        <v>65</v>
      </c>
      <c r="I35" s="2" t="s">
        <v>127</v>
      </c>
      <c r="J35" s="7" t="s">
        <v>220</v>
      </c>
      <c r="K35" s="7" t="s">
        <v>221</v>
      </c>
      <c r="L35" s="3" t="s">
        <v>27</v>
      </c>
      <c r="M35" s="3" t="s">
        <v>23</v>
      </c>
      <c r="N35" s="3">
        <v>3005071000</v>
      </c>
      <c r="O35" s="3" t="s">
        <v>24</v>
      </c>
      <c r="P35" s="6" t="s">
        <v>176</v>
      </c>
      <c r="Q35" s="6" t="s">
        <v>177</v>
      </c>
      <c r="R35" s="6" t="s">
        <v>176</v>
      </c>
      <c r="S35" s="6" t="s">
        <v>177</v>
      </c>
      <c r="T35" s="6" t="s">
        <v>176</v>
      </c>
      <c r="U35" s="6" t="s">
        <v>177</v>
      </c>
      <c r="V35" s="6" t="s">
        <v>176</v>
      </c>
      <c r="W35" s="6" t="s">
        <v>177</v>
      </c>
      <c r="X35" s="6" t="s">
        <v>176</v>
      </c>
      <c r="Y35" s="6" t="s">
        <v>177</v>
      </c>
      <c r="Z35" s="6" t="s">
        <v>176</v>
      </c>
      <c r="AA35" s="6" t="s">
        <v>177</v>
      </c>
      <c r="AB35" s="6" t="s">
        <v>176</v>
      </c>
      <c r="AC35" s="6" t="s">
        <v>177</v>
      </c>
      <c r="AF35" s="13" t="s">
        <v>296</v>
      </c>
      <c r="AG35" s="13"/>
      <c r="AH35" s="13"/>
      <c r="AI35" s="13"/>
      <c r="AJ35" s="13"/>
      <c r="AK35" s="13"/>
      <c r="AL35" s="13"/>
    </row>
    <row r="36" spans="1:38" x14ac:dyDescent="0.2">
      <c r="A36" s="3">
        <v>35</v>
      </c>
      <c r="B36" s="3" t="s">
        <v>26</v>
      </c>
      <c r="C36" s="3" t="s">
        <v>25</v>
      </c>
      <c r="D36" s="4" t="s">
        <v>43</v>
      </c>
      <c r="E36" s="3">
        <v>14</v>
      </c>
      <c r="F36" s="2" t="s">
        <v>85</v>
      </c>
      <c r="G36" s="3">
        <v>18</v>
      </c>
      <c r="H36" s="5">
        <f t="shared" si="0"/>
        <v>18</v>
      </c>
      <c r="I36" s="2" t="s">
        <v>140</v>
      </c>
      <c r="J36" s="7" t="s">
        <v>222</v>
      </c>
      <c r="K36" s="7" t="s">
        <v>223</v>
      </c>
      <c r="L36" s="3" t="s">
        <v>27</v>
      </c>
      <c r="M36" s="3" t="s">
        <v>23</v>
      </c>
      <c r="N36" s="3">
        <v>3005071000</v>
      </c>
      <c r="O36" s="3" t="s">
        <v>24</v>
      </c>
      <c r="P36" s="6" t="s">
        <v>176</v>
      </c>
      <c r="Q36" s="6" t="s">
        <v>177</v>
      </c>
      <c r="R36" s="6" t="s">
        <v>176</v>
      </c>
      <c r="S36" s="6" t="s">
        <v>177</v>
      </c>
      <c r="T36" s="6" t="s">
        <v>176</v>
      </c>
      <c r="U36" s="6" t="s">
        <v>177</v>
      </c>
      <c r="V36" s="6" t="s">
        <v>176</v>
      </c>
      <c r="W36" s="6" t="s">
        <v>177</v>
      </c>
      <c r="X36" s="6" t="s">
        <v>176</v>
      </c>
      <c r="Y36" s="6" t="s">
        <v>177</v>
      </c>
      <c r="Z36" s="6" t="s">
        <v>176</v>
      </c>
      <c r="AA36" s="6" t="s">
        <v>177</v>
      </c>
      <c r="AB36" s="6" t="s">
        <v>176</v>
      </c>
      <c r="AC36" s="6" t="s">
        <v>177</v>
      </c>
      <c r="AF36" s="13" t="s">
        <v>297</v>
      </c>
      <c r="AG36" s="13"/>
      <c r="AH36" s="13"/>
      <c r="AI36" s="13"/>
      <c r="AJ36" s="13"/>
      <c r="AK36" s="13"/>
      <c r="AL36" s="13"/>
    </row>
    <row r="37" spans="1:38" x14ac:dyDescent="0.2">
      <c r="A37" s="3">
        <v>36</v>
      </c>
      <c r="B37" s="3" t="s">
        <v>26</v>
      </c>
      <c r="C37" s="3" t="s">
        <v>25</v>
      </c>
      <c r="D37" s="4" t="s">
        <v>43</v>
      </c>
      <c r="E37" s="3">
        <v>14</v>
      </c>
      <c r="F37" s="2" t="s">
        <v>86</v>
      </c>
      <c r="G37" s="3">
        <v>49</v>
      </c>
      <c r="H37" s="5">
        <f t="shared" si="0"/>
        <v>49</v>
      </c>
      <c r="I37" s="2" t="s">
        <v>139</v>
      </c>
      <c r="J37" s="7" t="s">
        <v>159</v>
      </c>
      <c r="K37" s="7" t="s">
        <v>160</v>
      </c>
      <c r="L37" s="3" t="s">
        <v>27</v>
      </c>
      <c r="M37" s="3" t="s">
        <v>23</v>
      </c>
      <c r="N37" s="3">
        <v>3005071000</v>
      </c>
      <c r="O37" s="3" t="s">
        <v>24</v>
      </c>
      <c r="P37" s="6" t="s">
        <v>176</v>
      </c>
      <c r="Q37" s="6" t="s">
        <v>177</v>
      </c>
      <c r="R37" s="6" t="s">
        <v>176</v>
      </c>
      <c r="S37" s="6" t="s">
        <v>177</v>
      </c>
      <c r="T37" s="6" t="s">
        <v>176</v>
      </c>
      <c r="U37" s="6" t="s">
        <v>177</v>
      </c>
      <c r="V37" s="6" t="s">
        <v>176</v>
      </c>
      <c r="W37" s="6" t="s">
        <v>177</v>
      </c>
      <c r="X37" s="6" t="s">
        <v>176</v>
      </c>
      <c r="Y37" s="6" t="s">
        <v>177</v>
      </c>
      <c r="Z37" s="6" t="s">
        <v>176</v>
      </c>
      <c r="AA37" s="6" t="s">
        <v>177</v>
      </c>
      <c r="AB37" s="6" t="s">
        <v>176</v>
      </c>
      <c r="AC37" s="6" t="s">
        <v>177</v>
      </c>
      <c r="AF37" s="13" t="s">
        <v>298</v>
      </c>
      <c r="AG37" s="13"/>
      <c r="AH37" s="13"/>
      <c r="AI37" s="13"/>
      <c r="AJ37" s="13"/>
      <c r="AK37" s="13"/>
      <c r="AL37" s="13"/>
    </row>
    <row r="38" spans="1:38" x14ac:dyDescent="0.2">
      <c r="A38" s="3">
        <v>37</v>
      </c>
      <c r="B38" s="3" t="s">
        <v>26</v>
      </c>
      <c r="C38" s="3" t="s">
        <v>25</v>
      </c>
      <c r="D38" s="4" t="s">
        <v>43</v>
      </c>
      <c r="E38" s="3">
        <v>14</v>
      </c>
      <c r="F38" s="2" t="s">
        <v>87</v>
      </c>
      <c r="G38" s="3">
        <v>69</v>
      </c>
      <c r="H38" s="5">
        <f t="shared" si="0"/>
        <v>69</v>
      </c>
      <c r="I38" s="2" t="s">
        <v>138</v>
      </c>
      <c r="J38" s="7" t="s">
        <v>224</v>
      </c>
      <c r="K38" s="7" t="s">
        <v>225</v>
      </c>
      <c r="L38" s="3" t="s">
        <v>27</v>
      </c>
      <c r="M38" s="3" t="s">
        <v>23</v>
      </c>
      <c r="N38" s="3">
        <v>3005071000</v>
      </c>
      <c r="O38" s="3" t="s">
        <v>24</v>
      </c>
      <c r="P38" s="6" t="s">
        <v>176</v>
      </c>
      <c r="Q38" s="6" t="s">
        <v>177</v>
      </c>
      <c r="R38" s="6" t="s">
        <v>176</v>
      </c>
      <c r="S38" s="6" t="s">
        <v>177</v>
      </c>
      <c r="T38" s="6" t="s">
        <v>176</v>
      </c>
      <c r="U38" s="6" t="s">
        <v>177</v>
      </c>
      <c r="V38" s="6" t="s">
        <v>176</v>
      </c>
      <c r="W38" s="6" t="s">
        <v>177</v>
      </c>
      <c r="X38" s="6" t="s">
        <v>176</v>
      </c>
      <c r="Y38" s="6" t="s">
        <v>177</v>
      </c>
      <c r="Z38" s="6" t="s">
        <v>176</v>
      </c>
      <c r="AA38" s="6" t="s">
        <v>177</v>
      </c>
      <c r="AB38" s="6" t="s">
        <v>176</v>
      </c>
      <c r="AC38" s="6" t="s">
        <v>177</v>
      </c>
      <c r="AF38" s="13" t="s">
        <v>299</v>
      </c>
      <c r="AG38" s="13"/>
      <c r="AH38" s="13"/>
      <c r="AI38" s="13"/>
      <c r="AJ38" s="13"/>
      <c r="AK38" s="13"/>
      <c r="AL38" s="13"/>
    </row>
    <row r="39" spans="1:38" x14ac:dyDescent="0.2">
      <c r="A39" s="3">
        <v>38</v>
      </c>
      <c r="B39" s="3" t="s">
        <v>26</v>
      </c>
      <c r="C39" s="3" t="s">
        <v>25</v>
      </c>
      <c r="D39" s="4" t="s">
        <v>43</v>
      </c>
      <c r="E39" s="3">
        <v>14</v>
      </c>
      <c r="F39" s="2" t="s">
        <v>88</v>
      </c>
      <c r="G39" s="3">
        <v>71</v>
      </c>
      <c r="H39" s="5">
        <f t="shared" si="0"/>
        <v>71</v>
      </c>
      <c r="I39" s="2" t="s">
        <v>137</v>
      </c>
      <c r="J39" s="7" t="s">
        <v>226</v>
      </c>
      <c r="K39" s="7" t="s">
        <v>227</v>
      </c>
      <c r="L39" s="3" t="s">
        <v>27</v>
      </c>
      <c r="M39" s="3" t="s">
        <v>23</v>
      </c>
      <c r="N39" s="3">
        <v>3005071000</v>
      </c>
      <c r="O39" s="3" t="s">
        <v>24</v>
      </c>
      <c r="P39" s="6" t="s">
        <v>176</v>
      </c>
      <c r="Q39" s="6" t="s">
        <v>177</v>
      </c>
      <c r="R39" s="6" t="s">
        <v>176</v>
      </c>
      <c r="S39" s="6" t="s">
        <v>177</v>
      </c>
      <c r="T39" s="6" t="s">
        <v>176</v>
      </c>
      <c r="U39" s="6" t="s">
        <v>177</v>
      </c>
      <c r="V39" s="6" t="s">
        <v>176</v>
      </c>
      <c r="W39" s="6" t="s">
        <v>177</v>
      </c>
      <c r="X39" s="6" t="s">
        <v>176</v>
      </c>
      <c r="Y39" s="6" t="s">
        <v>177</v>
      </c>
      <c r="Z39" s="6" t="s">
        <v>176</v>
      </c>
      <c r="AA39" s="6" t="s">
        <v>177</v>
      </c>
      <c r="AB39" s="6" t="s">
        <v>176</v>
      </c>
      <c r="AC39" s="6" t="s">
        <v>177</v>
      </c>
      <c r="AF39" s="13" t="s">
        <v>300</v>
      </c>
      <c r="AG39" s="13"/>
      <c r="AH39" s="13"/>
      <c r="AI39" s="13"/>
      <c r="AJ39" s="13"/>
      <c r="AK39" s="13"/>
      <c r="AL39" s="13"/>
    </row>
    <row r="40" spans="1:38" x14ac:dyDescent="0.2">
      <c r="A40" s="3">
        <v>39</v>
      </c>
      <c r="B40" s="3" t="s">
        <v>26</v>
      </c>
      <c r="C40" s="3" t="s">
        <v>25</v>
      </c>
      <c r="D40" s="4" t="s">
        <v>43</v>
      </c>
      <c r="E40" s="3">
        <v>14</v>
      </c>
      <c r="F40" s="2" t="s">
        <v>89</v>
      </c>
      <c r="G40" s="3">
        <v>70</v>
      </c>
      <c r="H40" s="5">
        <f t="shared" si="0"/>
        <v>70</v>
      </c>
      <c r="I40" s="2" t="s">
        <v>136</v>
      </c>
      <c r="J40" s="7" t="s">
        <v>228</v>
      </c>
      <c r="K40" s="7" t="s">
        <v>229</v>
      </c>
      <c r="L40" s="3" t="s">
        <v>27</v>
      </c>
      <c r="M40" s="3" t="s">
        <v>23</v>
      </c>
      <c r="N40" s="3">
        <v>3005071000</v>
      </c>
      <c r="O40" s="3" t="s">
        <v>24</v>
      </c>
      <c r="P40" s="6" t="s">
        <v>176</v>
      </c>
      <c r="Q40" s="6" t="s">
        <v>177</v>
      </c>
      <c r="R40" s="6" t="s">
        <v>176</v>
      </c>
      <c r="S40" s="6" t="s">
        <v>177</v>
      </c>
      <c r="T40" s="6" t="s">
        <v>176</v>
      </c>
      <c r="U40" s="6" t="s">
        <v>177</v>
      </c>
      <c r="V40" s="6" t="s">
        <v>176</v>
      </c>
      <c r="W40" s="6" t="s">
        <v>177</v>
      </c>
      <c r="X40" s="6" t="s">
        <v>176</v>
      </c>
      <c r="Y40" s="6" t="s">
        <v>177</v>
      </c>
      <c r="Z40" s="6" t="s">
        <v>176</v>
      </c>
      <c r="AA40" s="6" t="s">
        <v>177</v>
      </c>
      <c r="AB40" s="6" t="s">
        <v>176</v>
      </c>
      <c r="AC40" s="6" t="s">
        <v>177</v>
      </c>
      <c r="AF40" s="13" t="s">
        <v>301</v>
      </c>
      <c r="AG40" s="13"/>
      <c r="AH40" s="13"/>
      <c r="AI40" s="13"/>
      <c r="AJ40" s="13"/>
      <c r="AK40" s="13"/>
      <c r="AL40" s="13"/>
    </row>
    <row r="41" spans="1:38" x14ac:dyDescent="0.2">
      <c r="A41" s="3">
        <v>40</v>
      </c>
      <c r="B41" s="3" t="s">
        <v>26</v>
      </c>
      <c r="C41" s="3" t="s">
        <v>25</v>
      </c>
      <c r="D41" s="4" t="s">
        <v>43</v>
      </c>
      <c r="E41" s="3">
        <v>14</v>
      </c>
      <c r="F41" s="2" t="s">
        <v>90</v>
      </c>
      <c r="G41" s="3">
        <v>25</v>
      </c>
      <c r="H41" s="5">
        <f t="shared" si="0"/>
        <v>25</v>
      </c>
      <c r="I41" s="2" t="s">
        <v>135</v>
      </c>
      <c r="J41" s="7" t="s">
        <v>230</v>
      </c>
      <c r="K41" s="7" t="s">
        <v>231</v>
      </c>
      <c r="L41" s="3" t="s">
        <v>27</v>
      </c>
      <c r="M41" s="3" t="s">
        <v>23</v>
      </c>
      <c r="N41" s="3">
        <v>3005071000</v>
      </c>
      <c r="O41" s="3" t="s">
        <v>24</v>
      </c>
      <c r="P41" s="6" t="s">
        <v>176</v>
      </c>
      <c r="Q41" s="6" t="s">
        <v>177</v>
      </c>
      <c r="R41" s="6" t="s">
        <v>176</v>
      </c>
      <c r="S41" s="6" t="s">
        <v>177</v>
      </c>
      <c r="T41" s="6" t="s">
        <v>176</v>
      </c>
      <c r="U41" s="6" t="s">
        <v>177</v>
      </c>
      <c r="V41" s="6" t="s">
        <v>176</v>
      </c>
      <c r="W41" s="6" t="s">
        <v>177</v>
      </c>
      <c r="X41" s="6" t="s">
        <v>176</v>
      </c>
      <c r="Y41" s="6" t="s">
        <v>177</v>
      </c>
      <c r="Z41" s="6" t="s">
        <v>176</v>
      </c>
      <c r="AA41" s="6" t="s">
        <v>177</v>
      </c>
      <c r="AB41" s="6" t="s">
        <v>176</v>
      </c>
      <c r="AC41" s="6" t="s">
        <v>177</v>
      </c>
      <c r="AF41" s="13" t="s">
        <v>302</v>
      </c>
      <c r="AG41" s="13"/>
      <c r="AH41" s="13"/>
      <c r="AI41" s="13"/>
      <c r="AJ41" s="13"/>
      <c r="AK41" s="13"/>
      <c r="AL41" s="13"/>
    </row>
    <row r="42" spans="1:38" x14ac:dyDescent="0.2">
      <c r="A42" s="3">
        <v>41</v>
      </c>
      <c r="B42" s="3" t="s">
        <v>26</v>
      </c>
      <c r="C42" s="3" t="s">
        <v>25</v>
      </c>
      <c r="D42" s="4" t="s">
        <v>43</v>
      </c>
      <c r="E42" s="3">
        <v>14</v>
      </c>
      <c r="F42" s="2" t="s">
        <v>91</v>
      </c>
      <c r="G42" s="3">
        <v>5</v>
      </c>
      <c r="H42" s="5">
        <f t="shared" si="0"/>
        <v>5</v>
      </c>
      <c r="I42" s="2" t="s">
        <v>134</v>
      </c>
      <c r="J42" s="7" t="s">
        <v>232</v>
      </c>
      <c r="K42" s="7" t="s">
        <v>233</v>
      </c>
      <c r="L42" s="3" t="s">
        <v>27</v>
      </c>
      <c r="M42" s="3" t="s">
        <v>23</v>
      </c>
      <c r="N42" s="3">
        <v>3005071000</v>
      </c>
      <c r="O42" s="3" t="s">
        <v>24</v>
      </c>
      <c r="P42" s="6" t="s">
        <v>176</v>
      </c>
      <c r="Q42" s="6" t="s">
        <v>177</v>
      </c>
      <c r="R42" s="6" t="s">
        <v>176</v>
      </c>
      <c r="S42" s="6" t="s">
        <v>177</v>
      </c>
      <c r="T42" s="6" t="s">
        <v>176</v>
      </c>
      <c r="U42" s="6" t="s">
        <v>177</v>
      </c>
      <c r="V42" s="6" t="s">
        <v>176</v>
      </c>
      <c r="W42" s="6" t="s">
        <v>177</v>
      </c>
      <c r="X42" s="6" t="s">
        <v>176</v>
      </c>
      <c r="Y42" s="6" t="s">
        <v>177</v>
      </c>
      <c r="Z42" s="6" t="s">
        <v>176</v>
      </c>
      <c r="AA42" s="6" t="s">
        <v>177</v>
      </c>
      <c r="AB42" s="6" t="s">
        <v>176</v>
      </c>
      <c r="AC42" s="6" t="s">
        <v>177</v>
      </c>
      <c r="AF42" s="13" t="s">
        <v>303</v>
      </c>
      <c r="AG42" s="13"/>
      <c r="AH42" s="13"/>
      <c r="AI42" s="13"/>
      <c r="AJ42" s="13"/>
      <c r="AK42" s="13"/>
      <c r="AL42" s="13"/>
    </row>
    <row r="43" spans="1:38" x14ac:dyDescent="0.2">
      <c r="A43" s="3">
        <v>42</v>
      </c>
      <c r="B43" s="3" t="s">
        <v>26</v>
      </c>
      <c r="C43" s="3" t="s">
        <v>25</v>
      </c>
      <c r="D43" s="4" t="s">
        <v>44</v>
      </c>
      <c r="E43" s="3">
        <v>15</v>
      </c>
      <c r="F43" s="2" t="s">
        <v>44</v>
      </c>
      <c r="G43" s="3">
        <v>21</v>
      </c>
      <c r="H43" s="5">
        <f t="shared" si="0"/>
        <v>21</v>
      </c>
      <c r="I43" s="2" t="s">
        <v>147</v>
      </c>
      <c r="J43" s="7" t="s">
        <v>234</v>
      </c>
      <c r="K43" s="7" t="s">
        <v>235</v>
      </c>
      <c r="L43" s="3" t="s">
        <v>27</v>
      </c>
      <c r="M43" s="3" t="s">
        <v>23</v>
      </c>
      <c r="N43" s="3">
        <v>3005071000</v>
      </c>
      <c r="O43" s="3" t="s">
        <v>24</v>
      </c>
      <c r="P43" s="6" t="s">
        <v>176</v>
      </c>
      <c r="Q43" s="6" t="s">
        <v>177</v>
      </c>
      <c r="R43" s="6" t="s">
        <v>176</v>
      </c>
      <c r="S43" s="6" t="s">
        <v>177</v>
      </c>
      <c r="T43" s="6" t="s">
        <v>176</v>
      </c>
      <c r="U43" s="6" t="s">
        <v>177</v>
      </c>
      <c r="V43" s="6" t="s">
        <v>176</v>
      </c>
      <c r="W43" s="6" t="s">
        <v>177</v>
      </c>
      <c r="X43" s="6" t="s">
        <v>176</v>
      </c>
      <c r="Y43" s="6" t="s">
        <v>177</v>
      </c>
      <c r="Z43" s="6" t="s">
        <v>176</v>
      </c>
      <c r="AA43" s="6" t="s">
        <v>177</v>
      </c>
      <c r="AB43" s="6" t="s">
        <v>176</v>
      </c>
      <c r="AC43" s="6" t="s">
        <v>177</v>
      </c>
      <c r="AF43" s="13" t="s">
        <v>304</v>
      </c>
      <c r="AG43" s="13"/>
      <c r="AH43" s="13"/>
      <c r="AI43" s="13"/>
      <c r="AJ43" s="13"/>
      <c r="AK43" s="13"/>
      <c r="AL43" s="13"/>
    </row>
    <row r="44" spans="1:38" x14ac:dyDescent="0.2">
      <c r="A44" s="3">
        <v>43</v>
      </c>
      <c r="B44" s="3" t="s">
        <v>26</v>
      </c>
      <c r="C44" s="3" t="s">
        <v>25</v>
      </c>
      <c r="D44" s="4" t="s">
        <v>45</v>
      </c>
      <c r="E44" s="3">
        <v>16</v>
      </c>
      <c r="F44" s="2" t="s">
        <v>45</v>
      </c>
      <c r="G44" s="3">
        <v>22</v>
      </c>
      <c r="H44" s="5">
        <f t="shared" si="0"/>
        <v>22</v>
      </c>
      <c r="I44" s="2" t="s">
        <v>146</v>
      </c>
      <c r="J44" s="7" t="s">
        <v>236</v>
      </c>
      <c r="K44" s="7" t="s">
        <v>237</v>
      </c>
      <c r="L44" s="3" t="s">
        <v>27</v>
      </c>
      <c r="M44" s="3" t="s">
        <v>23</v>
      </c>
      <c r="N44" s="3">
        <v>3005071000</v>
      </c>
      <c r="O44" s="3" t="s">
        <v>24</v>
      </c>
      <c r="P44" s="6" t="s">
        <v>176</v>
      </c>
      <c r="Q44" s="6" t="s">
        <v>177</v>
      </c>
      <c r="R44" s="6" t="s">
        <v>176</v>
      </c>
      <c r="S44" s="6" t="s">
        <v>177</v>
      </c>
      <c r="T44" s="6" t="s">
        <v>176</v>
      </c>
      <c r="U44" s="6" t="s">
        <v>177</v>
      </c>
      <c r="V44" s="6" t="s">
        <v>176</v>
      </c>
      <c r="W44" s="6" t="s">
        <v>177</v>
      </c>
      <c r="X44" s="6" t="s">
        <v>176</v>
      </c>
      <c r="Y44" s="6" t="s">
        <v>177</v>
      </c>
      <c r="Z44" s="6" t="s">
        <v>176</v>
      </c>
      <c r="AA44" s="6" t="s">
        <v>177</v>
      </c>
      <c r="AB44" s="6" t="s">
        <v>176</v>
      </c>
      <c r="AC44" s="6" t="s">
        <v>177</v>
      </c>
      <c r="AF44" s="13" t="s">
        <v>305</v>
      </c>
      <c r="AG44" s="13"/>
      <c r="AH44" s="13"/>
      <c r="AI44" s="13"/>
      <c r="AJ44" s="13"/>
      <c r="AK44" s="13"/>
      <c r="AL44" s="13"/>
    </row>
    <row r="45" spans="1:38" x14ac:dyDescent="0.2">
      <c r="A45" s="3">
        <v>44</v>
      </c>
      <c r="B45" s="3" t="s">
        <v>26</v>
      </c>
      <c r="C45" s="3" t="s">
        <v>25</v>
      </c>
      <c r="D45" s="4" t="s">
        <v>46</v>
      </c>
      <c r="E45" s="3">
        <v>17</v>
      </c>
      <c r="F45" s="2" t="s">
        <v>46</v>
      </c>
      <c r="G45" s="3">
        <v>66</v>
      </c>
      <c r="H45" s="5">
        <f t="shared" si="0"/>
        <v>66</v>
      </c>
      <c r="I45" s="2" t="s">
        <v>145</v>
      </c>
      <c r="J45" s="7" t="s">
        <v>238</v>
      </c>
      <c r="K45" s="7" t="s">
        <v>239</v>
      </c>
      <c r="L45" s="3" t="s">
        <v>27</v>
      </c>
      <c r="M45" s="3" t="s">
        <v>23</v>
      </c>
      <c r="N45" s="3">
        <v>3005071000</v>
      </c>
      <c r="O45" s="3" t="s">
        <v>24</v>
      </c>
      <c r="P45" s="6" t="s">
        <v>176</v>
      </c>
      <c r="Q45" s="6" t="s">
        <v>177</v>
      </c>
      <c r="R45" s="6" t="s">
        <v>176</v>
      </c>
      <c r="S45" s="6" t="s">
        <v>177</v>
      </c>
      <c r="T45" s="6" t="s">
        <v>176</v>
      </c>
      <c r="U45" s="6" t="s">
        <v>177</v>
      </c>
      <c r="V45" s="6" t="s">
        <v>176</v>
      </c>
      <c r="W45" s="6" t="s">
        <v>177</v>
      </c>
      <c r="X45" s="6" t="s">
        <v>176</v>
      </c>
      <c r="Y45" s="6" t="s">
        <v>177</v>
      </c>
      <c r="Z45" s="6" t="s">
        <v>176</v>
      </c>
      <c r="AA45" s="6" t="s">
        <v>177</v>
      </c>
      <c r="AB45" s="6" t="s">
        <v>176</v>
      </c>
      <c r="AC45" s="6" t="s">
        <v>177</v>
      </c>
      <c r="AF45" s="13" t="s">
        <v>306</v>
      </c>
      <c r="AG45" s="13"/>
      <c r="AH45" s="13"/>
      <c r="AI45" s="13"/>
      <c r="AJ45" s="13"/>
      <c r="AK45" s="13"/>
      <c r="AL45" s="13"/>
    </row>
    <row r="46" spans="1:38" x14ac:dyDescent="0.2">
      <c r="A46" s="3">
        <v>45</v>
      </c>
      <c r="B46" s="3" t="s">
        <v>26</v>
      </c>
      <c r="C46" s="3" t="s">
        <v>25</v>
      </c>
      <c r="D46" s="4" t="s">
        <v>47</v>
      </c>
      <c r="E46" s="3">
        <v>18</v>
      </c>
      <c r="F46" s="2" t="s">
        <v>47</v>
      </c>
      <c r="G46" s="3">
        <v>24</v>
      </c>
      <c r="H46" s="5">
        <f t="shared" si="0"/>
        <v>24</v>
      </c>
      <c r="I46" s="2" t="s">
        <v>144</v>
      </c>
      <c r="J46" s="7" t="s">
        <v>240</v>
      </c>
      <c r="K46" s="7" t="s">
        <v>241</v>
      </c>
      <c r="L46" s="3" t="s">
        <v>27</v>
      </c>
      <c r="M46" s="3" t="s">
        <v>23</v>
      </c>
      <c r="N46" s="3">
        <v>3005071000</v>
      </c>
      <c r="O46" s="3" t="s">
        <v>24</v>
      </c>
      <c r="P46" s="6" t="s">
        <v>176</v>
      </c>
      <c r="Q46" s="6" t="s">
        <v>177</v>
      </c>
      <c r="R46" s="6" t="s">
        <v>176</v>
      </c>
      <c r="S46" s="6" t="s">
        <v>177</v>
      </c>
      <c r="T46" s="6" t="s">
        <v>176</v>
      </c>
      <c r="U46" s="6" t="s">
        <v>177</v>
      </c>
      <c r="V46" s="6" t="s">
        <v>176</v>
      </c>
      <c r="W46" s="6" t="s">
        <v>177</v>
      </c>
      <c r="X46" s="6" t="s">
        <v>176</v>
      </c>
      <c r="Y46" s="6" t="s">
        <v>177</v>
      </c>
      <c r="Z46" s="6" t="s">
        <v>176</v>
      </c>
      <c r="AA46" s="6" t="s">
        <v>177</v>
      </c>
      <c r="AB46" s="6" t="s">
        <v>176</v>
      </c>
      <c r="AC46" s="6" t="s">
        <v>177</v>
      </c>
      <c r="AF46" s="13" t="s">
        <v>307</v>
      </c>
      <c r="AG46" s="13"/>
      <c r="AH46" s="13"/>
      <c r="AI46" s="13"/>
      <c r="AJ46" s="13"/>
      <c r="AK46" s="13"/>
      <c r="AL46" s="13"/>
    </row>
    <row r="47" spans="1:38" x14ac:dyDescent="0.2">
      <c r="A47" s="3">
        <v>46</v>
      </c>
      <c r="B47" s="3" t="s">
        <v>26</v>
      </c>
      <c r="C47" s="3" t="s">
        <v>25</v>
      </c>
      <c r="D47" s="4" t="s">
        <v>48</v>
      </c>
      <c r="E47" s="3">
        <v>19</v>
      </c>
      <c r="F47" s="2" t="s">
        <v>48</v>
      </c>
      <c r="G47" s="3">
        <v>26</v>
      </c>
      <c r="H47" s="5">
        <f t="shared" si="0"/>
        <v>26</v>
      </c>
      <c r="I47" s="2" t="s">
        <v>143</v>
      </c>
      <c r="J47" s="7" t="s">
        <v>242</v>
      </c>
      <c r="K47" s="7" t="s">
        <v>243</v>
      </c>
      <c r="L47" s="3" t="s">
        <v>27</v>
      </c>
      <c r="M47" s="3" t="s">
        <v>23</v>
      </c>
      <c r="N47" s="3">
        <v>3005071000</v>
      </c>
      <c r="O47" s="3" t="s">
        <v>24</v>
      </c>
      <c r="P47" s="6" t="s">
        <v>176</v>
      </c>
      <c r="Q47" s="6" t="s">
        <v>177</v>
      </c>
      <c r="R47" s="6" t="s">
        <v>176</v>
      </c>
      <c r="S47" s="6" t="s">
        <v>177</v>
      </c>
      <c r="T47" s="6" t="s">
        <v>176</v>
      </c>
      <c r="U47" s="6" t="s">
        <v>177</v>
      </c>
      <c r="V47" s="6" t="s">
        <v>176</v>
      </c>
      <c r="W47" s="6" t="s">
        <v>177</v>
      </c>
      <c r="X47" s="6" t="s">
        <v>176</v>
      </c>
      <c r="Y47" s="6" t="s">
        <v>177</v>
      </c>
      <c r="Z47" s="6" t="s">
        <v>176</v>
      </c>
      <c r="AA47" s="6" t="s">
        <v>177</v>
      </c>
      <c r="AB47" s="6" t="s">
        <v>176</v>
      </c>
      <c r="AC47" s="6" t="s">
        <v>177</v>
      </c>
      <c r="AF47" s="13" t="s">
        <v>308</v>
      </c>
      <c r="AG47" s="13"/>
      <c r="AH47" s="13"/>
      <c r="AI47" s="13"/>
      <c r="AJ47" s="13"/>
      <c r="AK47" s="13"/>
      <c r="AL47" s="13"/>
    </row>
    <row r="48" spans="1:38" x14ac:dyDescent="0.2">
      <c r="A48" s="3">
        <v>47</v>
      </c>
      <c r="B48" s="3" t="s">
        <v>26</v>
      </c>
      <c r="C48" s="3" t="s">
        <v>25</v>
      </c>
      <c r="D48" s="4" t="s">
        <v>49</v>
      </c>
      <c r="E48" s="3">
        <v>20</v>
      </c>
      <c r="F48" s="2" t="s">
        <v>49</v>
      </c>
      <c r="G48" s="3">
        <v>75</v>
      </c>
      <c r="H48" s="5">
        <f t="shared" si="0"/>
        <v>75</v>
      </c>
      <c r="I48" s="2" t="s">
        <v>142</v>
      </c>
      <c r="J48" s="7" t="s">
        <v>244</v>
      </c>
      <c r="K48" s="7" t="s">
        <v>245</v>
      </c>
      <c r="L48" s="3" t="s">
        <v>27</v>
      </c>
      <c r="M48" s="3" t="s">
        <v>23</v>
      </c>
      <c r="N48" s="3">
        <v>3005071000</v>
      </c>
      <c r="O48" s="3" t="s">
        <v>24</v>
      </c>
      <c r="P48" s="6" t="s">
        <v>176</v>
      </c>
      <c r="Q48" s="6" t="s">
        <v>177</v>
      </c>
      <c r="R48" s="6" t="s">
        <v>176</v>
      </c>
      <c r="S48" s="6" t="s">
        <v>177</v>
      </c>
      <c r="T48" s="6" t="s">
        <v>176</v>
      </c>
      <c r="U48" s="6" t="s">
        <v>177</v>
      </c>
      <c r="V48" s="6" t="s">
        <v>176</v>
      </c>
      <c r="W48" s="6" t="s">
        <v>177</v>
      </c>
      <c r="X48" s="6" t="s">
        <v>176</v>
      </c>
      <c r="Y48" s="6" t="s">
        <v>177</v>
      </c>
      <c r="Z48" s="6" t="s">
        <v>176</v>
      </c>
      <c r="AA48" s="6" t="s">
        <v>177</v>
      </c>
      <c r="AB48" s="6" t="s">
        <v>176</v>
      </c>
      <c r="AC48" s="6" t="s">
        <v>177</v>
      </c>
      <c r="AF48" s="13" t="s">
        <v>309</v>
      </c>
      <c r="AG48" s="13"/>
      <c r="AH48" s="13"/>
      <c r="AI48" s="13"/>
      <c r="AJ48" s="13"/>
      <c r="AK48" s="13"/>
      <c r="AL48" s="13"/>
    </row>
    <row r="49" spans="1:38" x14ac:dyDescent="0.2">
      <c r="A49" s="3">
        <v>48</v>
      </c>
      <c r="B49" s="3" t="s">
        <v>26</v>
      </c>
      <c r="C49" s="3" t="s">
        <v>25</v>
      </c>
      <c r="D49" s="4" t="s">
        <v>50</v>
      </c>
      <c r="E49" s="3">
        <v>21</v>
      </c>
      <c r="F49" s="2" t="s">
        <v>50</v>
      </c>
      <c r="G49" s="3">
        <v>27</v>
      </c>
      <c r="H49" s="5">
        <f t="shared" si="0"/>
        <v>27</v>
      </c>
      <c r="I49" s="2" t="s">
        <v>141</v>
      </c>
      <c r="J49" s="7" t="s">
        <v>246</v>
      </c>
      <c r="K49" s="7" t="s">
        <v>247</v>
      </c>
      <c r="L49" s="3" t="s">
        <v>27</v>
      </c>
      <c r="M49" s="3" t="s">
        <v>23</v>
      </c>
      <c r="N49" s="3">
        <v>3005071000</v>
      </c>
      <c r="O49" s="3" t="s">
        <v>24</v>
      </c>
      <c r="P49" s="6" t="s">
        <v>176</v>
      </c>
      <c r="Q49" s="6" t="s">
        <v>177</v>
      </c>
      <c r="R49" s="6" t="s">
        <v>176</v>
      </c>
      <c r="S49" s="6" t="s">
        <v>177</v>
      </c>
      <c r="T49" s="6" t="s">
        <v>176</v>
      </c>
      <c r="U49" s="6" t="s">
        <v>177</v>
      </c>
      <c r="V49" s="6" t="s">
        <v>176</v>
      </c>
      <c r="W49" s="6" t="s">
        <v>177</v>
      </c>
      <c r="X49" s="6" t="s">
        <v>176</v>
      </c>
      <c r="Y49" s="6" t="s">
        <v>177</v>
      </c>
      <c r="Z49" s="6" t="s">
        <v>176</v>
      </c>
      <c r="AA49" s="6" t="s">
        <v>177</v>
      </c>
      <c r="AB49" s="6" t="s">
        <v>176</v>
      </c>
      <c r="AC49" s="6" t="s">
        <v>177</v>
      </c>
      <c r="AF49" s="13" t="s">
        <v>310</v>
      </c>
      <c r="AG49" s="13"/>
      <c r="AH49" s="13"/>
      <c r="AI49" s="13"/>
      <c r="AJ49" s="13"/>
      <c r="AK49" s="13"/>
      <c r="AL49" s="13"/>
    </row>
    <row r="50" spans="1:38" x14ac:dyDescent="0.2">
      <c r="A50" s="3">
        <v>49</v>
      </c>
      <c r="B50" s="3" t="s">
        <v>26</v>
      </c>
      <c r="C50" s="3" t="s">
        <v>25</v>
      </c>
      <c r="D50" s="4" t="s">
        <v>51</v>
      </c>
      <c r="E50" s="3">
        <v>22</v>
      </c>
      <c r="F50" s="2" t="s">
        <v>51</v>
      </c>
      <c r="G50" s="3">
        <v>28</v>
      </c>
      <c r="H50" s="5">
        <f t="shared" si="0"/>
        <v>28</v>
      </c>
      <c r="I50" s="2" t="s">
        <v>154</v>
      </c>
      <c r="J50" s="7" t="s">
        <v>248</v>
      </c>
      <c r="K50" s="7" t="s">
        <v>249</v>
      </c>
      <c r="L50" s="3" t="s">
        <v>27</v>
      </c>
      <c r="M50" s="3" t="s">
        <v>23</v>
      </c>
      <c r="N50" s="3">
        <v>3005071000</v>
      </c>
      <c r="O50" s="3" t="s">
        <v>24</v>
      </c>
      <c r="P50" s="6" t="s">
        <v>176</v>
      </c>
      <c r="Q50" s="6" t="s">
        <v>177</v>
      </c>
      <c r="R50" s="6" t="s">
        <v>176</v>
      </c>
      <c r="S50" s="6" t="s">
        <v>177</v>
      </c>
      <c r="T50" s="6" t="s">
        <v>176</v>
      </c>
      <c r="U50" s="6" t="s">
        <v>177</v>
      </c>
      <c r="V50" s="6" t="s">
        <v>176</v>
      </c>
      <c r="W50" s="6" t="s">
        <v>177</v>
      </c>
      <c r="X50" s="6" t="s">
        <v>176</v>
      </c>
      <c r="Y50" s="6" t="s">
        <v>177</v>
      </c>
      <c r="Z50" s="6" t="s">
        <v>176</v>
      </c>
      <c r="AA50" s="6" t="s">
        <v>177</v>
      </c>
      <c r="AB50" s="6" t="s">
        <v>176</v>
      </c>
      <c r="AC50" s="6" t="s">
        <v>177</v>
      </c>
      <c r="AF50" s="13" t="s">
        <v>311</v>
      </c>
      <c r="AG50" s="13"/>
      <c r="AH50" s="13"/>
      <c r="AI50" s="13"/>
      <c r="AJ50" s="13"/>
      <c r="AK50" s="13"/>
      <c r="AL50" s="13"/>
    </row>
    <row r="51" spans="1:38" x14ac:dyDescent="0.2">
      <c r="A51" s="3">
        <v>50</v>
      </c>
      <c r="B51" s="3" t="s">
        <v>26</v>
      </c>
      <c r="C51" s="3" t="s">
        <v>25</v>
      </c>
      <c r="D51" s="4" t="s">
        <v>52</v>
      </c>
      <c r="E51" s="3">
        <v>23</v>
      </c>
      <c r="F51" s="2" t="s">
        <v>52</v>
      </c>
      <c r="G51" s="3">
        <v>30</v>
      </c>
      <c r="H51" s="5">
        <f t="shared" si="0"/>
        <v>30</v>
      </c>
      <c r="I51" s="2" t="s">
        <v>153</v>
      </c>
      <c r="J51" s="7" t="s">
        <v>250</v>
      </c>
      <c r="K51" s="7" t="s">
        <v>251</v>
      </c>
      <c r="L51" s="3" t="s">
        <v>27</v>
      </c>
      <c r="M51" s="3" t="s">
        <v>23</v>
      </c>
      <c r="N51" s="3">
        <v>3005071000</v>
      </c>
      <c r="O51" s="3" t="s">
        <v>24</v>
      </c>
      <c r="P51" s="6" t="s">
        <v>176</v>
      </c>
      <c r="Q51" s="6" t="s">
        <v>177</v>
      </c>
      <c r="R51" s="6" t="s">
        <v>176</v>
      </c>
      <c r="S51" s="6" t="s">
        <v>177</v>
      </c>
      <c r="T51" s="6" t="s">
        <v>176</v>
      </c>
      <c r="U51" s="6" t="s">
        <v>177</v>
      </c>
      <c r="V51" s="6" t="s">
        <v>176</v>
      </c>
      <c r="W51" s="6" t="s">
        <v>177</v>
      </c>
      <c r="X51" s="6" t="s">
        <v>176</v>
      </c>
      <c r="Y51" s="6" t="s">
        <v>177</v>
      </c>
      <c r="Z51" s="6" t="s">
        <v>176</v>
      </c>
      <c r="AA51" s="6" t="s">
        <v>177</v>
      </c>
      <c r="AB51" s="6" t="s">
        <v>176</v>
      </c>
      <c r="AC51" s="6" t="s">
        <v>177</v>
      </c>
      <c r="AF51" s="13" t="s">
        <v>312</v>
      </c>
      <c r="AG51" s="13"/>
      <c r="AH51" s="13"/>
      <c r="AI51" s="13"/>
      <c r="AJ51" s="13"/>
      <c r="AK51" s="13"/>
      <c r="AL51" s="13"/>
    </row>
    <row r="52" spans="1:38" x14ac:dyDescent="0.2">
      <c r="A52" s="3">
        <v>51</v>
      </c>
      <c r="B52" s="3" t="s">
        <v>26</v>
      </c>
      <c r="C52" s="3" t="s">
        <v>25</v>
      </c>
      <c r="D52" s="4" t="s">
        <v>53</v>
      </c>
      <c r="E52" s="3">
        <v>24</v>
      </c>
      <c r="F52" s="2" t="s">
        <v>53</v>
      </c>
      <c r="G52" s="3">
        <v>34</v>
      </c>
      <c r="H52" s="5">
        <f t="shared" si="0"/>
        <v>34</v>
      </c>
      <c r="I52" s="2" t="s">
        <v>152</v>
      </c>
      <c r="J52" s="7" t="s">
        <v>252</v>
      </c>
      <c r="K52" s="7" t="s">
        <v>253</v>
      </c>
      <c r="L52" s="3" t="s">
        <v>27</v>
      </c>
      <c r="M52" s="3" t="s">
        <v>23</v>
      </c>
      <c r="N52" s="3">
        <v>3005071000</v>
      </c>
      <c r="O52" s="3" t="s">
        <v>24</v>
      </c>
      <c r="P52" s="6" t="s">
        <v>176</v>
      </c>
      <c r="Q52" s="6" t="s">
        <v>177</v>
      </c>
      <c r="R52" s="6" t="s">
        <v>176</v>
      </c>
      <c r="S52" s="6" t="s">
        <v>177</v>
      </c>
      <c r="T52" s="6" t="s">
        <v>176</v>
      </c>
      <c r="U52" s="6" t="s">
        <v>177</v>
      </c>
      <c r="V52" s="6" t="s">
        <v>176</v>
      </c>
      <c r="W52" s="6" t="s">
        <v>177</v>
      </c>
      <c r="X52" s="6" t="s">
        <v>176</v>
      </c>
      <c r="Y52" s="6" t="s">
        <v>177</v>
      </c>
      <c r="Z52" s="6" t="s">
        <v>176</v>
      </c>
      <c r="AA52" s="6" t="s">
        <v>177</v>
      </c>
      <c r="AB52" s="6" t="s">
        <v>176</v>
      </c>
      <c r="AC52" s="6" t="s">
        <v>177</v>
      </c>
      <c r="AF52" s="13" t="s">
        <v>313</v>
      </c>
      <c r="AG52" s="13"/>
      <c r="AH52" s="13"/>
      <c r="AI52" s="13"/>
      <c r="AJ52" s="13"/>
      <c r="AK52" s="13"/>
      <c r="AL52" s="13"/>
    </row>
    <row r="53" spans="1:38" x14ac:dyDescent="0.2">
      <c r="A53" s="3">
        <v>52</v>
      </c>
      <c r="B53" s="3" t="s">
        <v>26</v>
      </c>
      <c r="C53" s="3" t="s">
        <v>25</v>
      </c>
      <c r="D53" s="4" t="s">
        <v>54</v>
      </c>
      <c r="E53" s="3">
        <v>25</v>
      </c>
      <c r="F53" s="2" t="s">
        <v>54</v>
      </c>
      <c r="G53" s="3">
        <v>67</v>
      </c>
      <c r="H53" s="5">
        <f t="shared" si="0"/>
        <v>67</v>
      </c>
      <c r="I53" s="2" t="s">
        <v>151</v>
      </c>
      <c r="J53" s="7" t="s">
        <v>254</v>
      </c>
      <c r="K53" s="7" t="s">
        <v>255</v>
      </c>
      <c r="L53" s="3" t="s">
        <v>27</v>
      </c>
      <c r="M53" s="3" t="s">
        <v>23</v>
      </c>
      <c r="N53" s="3">
        <v>3005071000</v>
      </c>
      <c r="O53" s="3" t="s">
        <v>24</v>
      </c>
      <c r="P53" s="6" t="s">
        <v>176</v>
      </c>
      <c r="Q53" s="6" t="s">
        <v>177</v>
      </c>
      <c r="R53" s="6" t="s">
        <v>176</v>
      </c>
      <c r="S53" s="6" t="s">
        <v>177</v>
      </c>
      <c r="T53" s="6" t="s">
        <v>176</v>
      </c>
      <c r="U53" s="6" t="s">
        <v>177</v>
      </c>
      <c r="V53" s="6" t="s">
        <v>176</v>
      </c>
      <c r="W53" s="6" t="s">
        <v>177</v>
      </c>
      <c r="X53" s="6" t="s">
        <v>176</v>
      </c>
      <c r="Y53" s="6" t="s">
        <v>177</v>
      </c>
      <c r="Z53" s="6" t="s">
        <v>176</v>
      </c>
      <c r="AA53" s="6" t="s">
        <v>177</v>
      </c>
      <c r="AB53" s="6" t="s">
        <v>176</v>
      </c>
      <c r="AC53" s="6" t="s">
        <v>177</v>
      </c>
      <c r="AF53" s="13" t="s">
        <v>314</v>
      </c>
      <c r="AG53" s="13"/>
      <c r="AH53" s="13"/>
      <c r="AI53" s="13"/>
      <c r="AJ53" s="13"/>
      <c r="AK53" s="13"/>
      <c r="AL53" s="13"/>
    </row>
    <row r="54" spans="1:38" x14ac:dyDescent="0.2">
      <c r="A54" s="3">
        <v>53</v>
      </c>
      <c r="B54" s="3" t="s">
        <v>26</v>
      </c>
      <c r="C54" s="3" t="s">
        <v>25</v>
      </c>
      <c r="D54" s="4" t="s">
        <v>55</v>
      </c>
      <c r="E54" s="3">
        <v>26</v>
      </c>
      <c r="F54" s="2" t="s">
        <v>55</v>
      </c>
      <c r="G54" s="3">
        <v>35</v>
      </c>
      <c r="H54" s="5">
        <f t="shared" si="0"/>
        <v>35</v>
      </c>
      <c r="I54" s="2" t="s">
        <v>150</v>
      </c>
      <c r="J54" s="7" t="s">
        <v>256</v>
      </c>
      <c r="K54" s="7" t="s">
        <v>257</v>
      </c>
      <c r="L54" s="3" t="s">
        <v>27</v>
      </c>
      <c r="M54" s="3" t="s">
        <v>23</v>
      </c>
      <c r="N54" s="3">
        <v>3005071000</v>
      </c>
      <c r="O54" s="3" t="s">
        <v>24</v>
      </c>
      <c r="P54" s="6" t="s">
        <v>176</v>
      </c>
      <c r="Q54" s="6" t="s">
        <v>177</v>
      </c>
      <c r="R54" s="6" t="s">
        <v>176</v>
      </c>
      <c r="S54" s="6" t="s">
        <v>177</v>
      </c>
      <c r="T54" s="6" t="s">
        <v>176</v>
      </c>
      <c r="U54" s="6" t="s">
        <v>177</v>
      </c>
      <c r="V54" s="6" t="s">
        <v>176</v>
      </c>
      <c r="W54" s="6" t="s">
        <v>177</v>
      </c>
      <c r="X54" s="6" t="s">
        <v>176</v>
      </c>
      <c r="Y54" s="6" t="s">
        <v>177</v>
      </c>
      <c r="Z54" s="6" t="s">
        <v>176</v>
      </c>
      <c r="AA54" s="6" t="s">
        <v>177</v>
      </c>
      <c r="AB54" s="6" t="s">
        <v>176</v>
      </c>
      <c r="AC54" s="6" t="s">
        <v>177</v>
      </c>
      <c r="AF54" s="13" t="s">
        <v>315</v>
      </c>
      <c r="AG54" s="13"/>
      <c r="AH54" s="13"/>
      <c r="AI54" s="13"/>
      <c r="AJ54" s="13"/>
      <c r="AK54" s="13"/>
      <c r="AL54" s="13"/>
    </row>
    <row r="55" spans="1:38" x14ac:dyDescent="0.2">
      <c r="A55" s="3">
        <v>54</v>
      </c>
      <c r="B55" s="3" t="s">
        <v>26</v>
      </c>
      <c r="C55" s="3" t="s">
        <v>25</v>
      </c>
      <c r="D55" s="4" t="s">
        <v>56</v>
      </c>
      <c r="E55" s="3">
        <v>27</v>
      </c>
      <c r="F55" s="2" t="s">
        <v>56</v>
      </c>
      <c r="G55" s="3">
        <v>36</v>
      </c>
      <c r="H55" s="5">
        <f t="shared" si="0"/>
        <v>36</v>
      </c>
      <c r="I55" s="2" t="s">
        <v>149</v>
      </c>
      <c r="J55" s="7" t="s">
        <v>258</v>
      </c>
      <c r="K55" s="7" t="s">
        <v>259</v>
      </c>
      <c r="L55" s="3" t="s">
        <v>27</v>
      </c>
      <c r="M55" s="3" t="s">
        <v>23</v>
      </c>
      <c r="N55" s="3">
        <v>3005071000</v>
      </c>
      <c r="O55" s="3" t="s">
        <v>24</v>
      </c>
      <c r="P55" s="6" t="s">
        <v>176</v>
      </c>
      <c r="Q55" s="6" t="s">
        <v>177</v>
      </c>
      <c r="R55" s="6" t="s">
        <v>176</v>
      </c>
      <c r="S55" s="6" t="s">
        <v>177</v>
      </c>
      <c r="T55" s="6" t="s">
        <v>176</v>
      </c>
      <c r="U55" s="6" t="s">
        <v>177</v>
      </c>
      <c r="V55" s="6" t="s">
        <v>176</v>
      </c>
      <c r="W55" s="6" t="s">
        <v>177</v>
      </c>
      <c r="X55" s="6" t="s">
        <v>176</v>
      </c>
      <c r="Y55" s="6" t="s">
        <v>177</v>
      </c>
      <c r="Z55" s="6" t="s">
        <v>176</v>
      </c>
      <c r="AA55" s="6" t="s">
        <v>177</v>
      </c>
      <c r="AB55" s="6" t="s">
        <v>176</v>
      </c>
      <c r="AC55" s="6" t="s">
        <v>177</v>
      </c>
      <c r="AF55" s="13" t="s">
        <v>316</v>
      </c>
      <c r="AG55" s="13"/>
      <c r="AH55" s="13"/>
      <c r="AI55" s="13"/>
      <c r="AJ55" s="13"/>
      <c r="AK55" s="13"/>
      <c r="AL55" s="13"/>
    </row>
    <row r="56" spans="1:38" x14ac:dyDescent="0.2">
      <c r="A56" s="3">
        <v>55</v>
      </c>
      <c r="B56" s="3" t="s">
        <v>26</v>
      </c>
      <c r="C56" s="3" t="s">
        <v>25</v>
      </c>
      <c r="D56" s="4" t="s">
        <v>57</v>
      </c>
      <c r="E56" s="3">
        <v>28</v>
      </c>
      <c r="F56" s="2" t="s">
        <v>57</v>
      </c>
      <c r="G56" s="3">
        <v>37</v>
      </c>
      <c r="H56" s="5">
        <f t="shared" si="0"/>
        <v>37</v>
      </c>
      <c r="I56" s="2" t="s">
        <v>148</v>
      </c>
      <c r="J56" s="7" t="s">
        <v>260</v>
      </c>
      <c r="K56" s="7" t="s">
        <v>261</v>
      </c>
      <c r="L56" s="3" t="s">
        <v>27</v>
      </c>
      <c r="M56" s="3" t="s">
        <v>23</v>
      </c>
      <c r="N56" s="3">
        <v>3005071000</v>
      </c>
      <c r="O56" s="3" t="s">
        <v>24</v>
      </c>
      <c r="P56" s="6" t="s">
        <v>176</v>
      </c>
      <c r="Q56" s="6" t="s">
        <v>177</v>
      </c>
      <c r="R56" s="6" t="s">
        <v>176</v>
      </c>
      <c r="S56" s="6" t="s">
        <v>177</v>
      </c>
      <c r="T56" s="6" t="s">
        <v>176</v>
      </c>
      <c r="U56" s="6" t="s">
        <v>177</v>
      </c>
      <c r="V56" s="6" t="s">
        <v>176</v>
      </c>
      <c r="W56" s="6" t="s">
        <v>177</v>
      </c>
      <c r="X56" s="6" t="s">
        <v>176</v>
      </c>
      <c r="Y56" s="6" t="s">
        <v>177</v>
      </c>
      <c r="Z56" s="6" t="s">
        <v>176</v>
      </c>
      <c r="AA56" s="6" t="s">
        <v>177</v>
      </c>
      <c r="AB56" s="6" t="s">
        <v>176</v>
      </c>
      <c r="AC56" s="6" t="s">
        <v>177</v>
      </c>
      <c r="AF56" s="13" t="s">
        <v>317</v>
      </c>
      <c r="AG56" s="13"/>
      <c r="AH56" s="13"/>
      <c r="AI56" s="13"/>
      <c r="AJ56" s="13"/>
      <c r="AK56" s="13"/>
      <c r="AL56" s="13"/>
    </row>
    <row r="57" spans="1:38" x14ac:dyDescent="0.2">
      <c r="AF57" s="13"/>
      <c r="AG57" s="13"/>
      <c r="AH57" s="13"/>
      <c r="AI57" s="13"/>
      <c r="AJ57" s="13"/>
      <c r="AK57" s="13"/>
      <c r="AL57" s="13"/>
    </row>
    <row r="62" spans="1:38" x14ac:dyDescent="0.2">
      <c r="D62" s="4" t="s">
        <v>29</v>
      </c>
      <c r="E62" s="3">
        <v>1</v>
      </c>
    </row>
    <row r="63" spans="1:38" x14ac:dyDescent="0.2">
      <c r="D63" s="4" t="s">
        <v>31</v>
      </c>
      <c r="E63" s="3">
        <v>2</v>
      </c>
    </row>
    <row r="64" spans="1:38" x14ac:dyDescent="0.2">
      <c r="D64" s="4" t="s">
        <v>32</v>
      </c>
      <c r="E64" s="3">
        <v>3</v>
      </c>
    </row>
    <row r="65" spans="4:5" x14ac:dyDescent="0.2">
      <c r="D65" s="4" t="s">
        <v>33</v>
      </c>
      <c r="E65" s="3">
        <v>4</v>
      </c>
    </row>
    <row r="66" spans="4:5" x14ac:dyDescent="0.2">
      <c r="D66" s="4" t="s">
        <v>34</v>
      </c>
      <c r="E66" s="3">
        <v>5</v>
      </c>
    </row>
    <row r="67" spans="4:5" x14ac:dyDescent="0.2">
      <c r="D67" s="4" t="s">
        <v>35</v>
      </c>
      <c r="E67" s="3">
        <v>6</v>
      </c>
    </row>
    <row r="68" spans="4:5" x14ac:dyDescent="0.2">
      <c r="D68" s="4" t="s">
        <v>36</v>
      </c>
      <c r="E68" s="3">
        <v>7</v>
      </c>
    </row>
    <row r="69" spans="4:5" x14ac:dyDescent="0.2">
      <c r="D69" s="4" t="s">
        <v>37</v>
      </c>
      <c r="E69" s="3">
        <v>8</v>
      </c>
    </row>
    <row r="70" spans="4:5" x14ac:dyDescent="0.2">
      <c r="D70" s="4" t="s">
        <v>38</v>
      </c>
      <c r="E70" s="3">
        <v>9</v>
      </c>
    </row>
    <row r="71" spans="4:5" x14ac:dyDescent="0.2">
      <c r="D71" s="4" t="s">
        <v>39</v>
      </c>
      <c r="E71" s="3">
        <v>10</v>
      </c>
    </row>
    <row r="72" spans="4:5" x14ac:dyDescent="0.2">
      <c r="D72" s="4" t="s">
        <v>40</v>
      </c>
      <c r="E72" s="3">
        <v>11</v>
      </c>
    </row>
    <row r="73" spans="4:5" x14ac:dyDescent="0.2">
      <c r="D73" s="4" t="s">
        <v>41</v>
      </c>
      <c r="E73" s="3">
        <v>12</v>
      </c>
    </row>
    <row r="74" spans="4:5" x14ac:dyDescent="0.2">
      <c r="D74" s="4" t="s">
        <v>42</v>
      </c>
      <c r="E74" s="3">
        <v>13</v>
      </c>
    </row>
    <row r="75" spans="4:5" x14ac:dyDescent="0.2">
      <c r="D75" s="4" t="s">
        <v>43</v>
      </c>
      <c r="E75" s="3">
        <v>14</v>
      </c>
    </row>
    <row r="76" spans="4:5" x14ac:dyDescent="0.2">
      <c r="D76" s="4" t="s">
        <v>44</v>
      </c>
      <c r="E76" s="3">
        <v>15</v>
      </c>
    </row>
    <row r="77" spans="4:5" x14ac:dyDescent="0.2">
      <c r="D77" s="4" t="s">
        <v>45</v>
      </c>
      <c r="E77" s="3">
        <v>16</v>
      </c>
    </row>
    <row r="78" spans="4:5" x14ac:dyDescent="0.2">
      <c r="D78" s="4" t="s">
        <v>46</v>
      </c>
      <c r="E78" s="3">
        <v>17</v>
      </c>
    </row>
    <row r="79" spans="4:5" x14ac:dyDescent="0.2">
      <c r="D79" s="4" t="s">
        <v>47</v>
      </c>
      <c r="E79" s="3">
        <v>18</v>
      </c>
    </row>
    <row r="80" spans="4:5" x14ac:dyDescent="0.2">
      <c r="D80" s="4" t="s">
        <v>48</v>
      </c>
      <c r="E80" s="3">
        <v>19</v>
      </c>
    </row>
    <row r="81" spans="4:5" x14ac:dyDescent="0.2">
      <c r="D81" s="4" t="s">
        <v>49</v>
      </c>
      <c r="E81" s="3">
        <v>20</v>
      </c>
    </row>
    <row r="82" spans="4:5" x14ac:dyDescent="0.2">
      <c r="D82" s="4" t="s">
        <v>50</v>
      </c>
      <c r="E82" s="3">
        <v>21</v>
      </c>
    </row>
    <row r="83" spans="4:5" x14ac:dyDescent="0.2">
      <c r="D83" s="4" t="s">
        <v>51</v>
      </c>
      <c r="E83" s="3">
        <v>22</v>
      </c>
    </row>
    <row r="84" spans="4:5" x14ac:dyDescent="0.2">
      <c r="D84" s="4" t="s">
        <v>52</v>
      </c>
      <c r="E84" s="3">
        <v>23</v>
      </c>
    </row>
    <row r="85" spans="4:5" x14ac:dyDescent="0.2">
      <c r="D85" s="4" t="s">
        <v>53</v>
      </c>
      <c r="E85" s="3">
        <v>24</v>
      </c>
    </row>
    <row r="86" spans="4:5" x14ac:dyDescent="0.2">
      <c r="D86" s="4" t="s">
        <v>54</v>
      </c>
      <c r="E86" s="3">
        <v>25</v>
      </c>
    </row>
    <row r="87" spans="4:5" x14ac:dyDescent="0.2">
      <c r="D87" s="4" t="s">
        <v>55</v>
      </c>
      <c r="E87" s="3">
        <v>26</v>
      </c>
    </row>
    <row r="88" spans="4:5" x14ac:dyDescent="0.2">
      <c r="D88" s="4" t="s">
        <v>56</v>
      </c>
      <c r="E88" s="3">
        <v>27</v>
      </c>
    </row>
    <row r="89" spans="4:5" x14ac:dyDescent="0.2">
      <c r="D89" s="4" t="s">
        <v>57</v>
      </c>
      <c r="E89" s="3">
        <v>28</v>
      </c>
    </row>
    <row r="90" spans="4:5" x14ac:dyDescent="0.2">
      <c r="D90"/>
      <c r="E90"/>
    </row>
    <row r="91" spans="4:5" x14ac:dyDescent="0.2">
      <c r="D91"/>
      <c r="E91"/>
    </row>
    <row r="92" spans="4:5" x14ac:dyDescent="0.2">
      <c r="D92"/>
      <c r="E92"/>
    </row>
    <row r="93" spans="4:5" x14ac:dyDescent="0.2">
      <c r="D93"/>
      <c r="E93"/>
    </row>
    <row r="94" spans="4:5" x14ac:dyDescent="0.2">
      <c r="D94"/>
      <c r="E94"/>
    </row>
    <row r="95" spans="4:5" x14ac:dyDescent="0.2">
      <c r="D95"/>
      <c r="E95"/>
    </row>
    <row r="96" spans="4:5" x14ac:dyDescent="0.2">
      <c r="D96"/>
      <c r="E96"/>
    </row>
    <row r="97" spans="4:5" x14ac:dyDescent="0.2">
      <c r="D97"/>
      <c r="E97"/>
    </row>
    <row r="98" spans="4:5" x14ac:dyDescent="0.2">
      <c r="D98"/>
      <c r="E98"/>
    </row>
    <row r="99" spans="4:5" x14ac:dyDescent="0.2">
      <c r="D99"/>
      <c r="E99"/>
    </row>
    <row r="100" spans="4:5" x14ac:dyDescent="0.2">
      <c r="D100"/>
      <c r="E100"/>
    </row>
    <row r="101" spans="4:5" x14ac:dyDescent="0.2">
      <c r="D101"/>
      <c r="E101"/>
    </row>
    <row r="102" spans="4:5" x14ac:dyDescent="0.2">
      <c r="D102"/>
      <c r="E102"/>
    </row>
    <row r="103" spans="4:5" x14ac:dyDescent="0.2">
      <c r="D103"/>
      <c r="E103"/>
    </row>
    <row r="104" spans="4:5" x14ac:dyDescent="0.2">
      <c r="D104"/>
      <c r="E104"/>
    </row>
    <row r="105" spans="4:5" x14ac:dyDescent="0.2">
      <c r="D105"/>
      <c r="E105"/>
    </row>
    <row r="106" spans="4:5" x14ac:dyDescent="0.2">
      <c r="D106"/>
      <c r="E106"/>
    </row>
    <row r="107" spans="4:5" x14ac:dyDescent="0.2">
      <c r="D107"/>
      <c r="E107"/>
    </row>
    <row r="108" spans="4:5" x14ac:dyDescent="0.2">
      <c r="D108"/>
      <c r="E108"/>
    </row>
    <row r="109" spans="4:5" x14ac:dyDescent="0.2">
      <c r="D109"/>
      <c r="E109"/>
    </row>
    <row r="110" spans="4:5" x14ac:dyDescent="0.2">
      <c r="D110"/>
      <c r="E110"/>
    </row>
    <row r="111" spans="4:5" x14ac:dyDescent="0.2">
      <c r="D111"/>
      <c r="E111"/>
    </row>
    <row r="112" spans="4:5" x14ac:dyDescent="0.2">
      <c r="D112"/>
      <c r="E112"/>
    </row>
    <row r="113" spans="4:5" x14ac:dyDescent="0.2">
      <c r="D113"/>
      <c r="E113"/>
    </row>
    <row r="114" spans="4:5" x14ac:dyDescent="0.2">
      <c r="D114"/>
      <c r="E114"/>
    </row>
    <row r="115" spans="4:5" x14ac:dyDescent="0.2">
      <c r="D115"/>
      <c r="E115"/>
    </row>
    <row r="116" spans="4:5" x14ac:dyDescent="0.2">
      <c r="D116"/>
      <c r="E116"/>
    </row>
  </sheetData>
  <mergeCells count="56">
    <mergeCell ref="AF56:AL56"/>
    <mergeCell ref="AF57:AL57"/>
    <mergeCell ref="AF50:AL50"/>
    <mergeCell ref="AF51:AL51"/>
    <mergeCell ref="AF52:AL52"/>
    <mergeCell ref="AF53:AL53"/>
    <mergeCell ref="AF54:AL54"/>
    <mergeCell ref="AF55:AL55"/>
    <mergeCell ref="AF49:AL49"/>
    <mergeCell ref="AF38:AL38"/>
    <mergeCell ref="AF39:AL39"/>
    <mergeCell ref="AF40:AL40"/>
    <mergeCell ref="AF41:AL41"/>
    <mergeCell ref="AF42:AL42"/>
    <mergeCell ref="AF43:AL43"/>
    <mergeCell ref="AF44:AL44"/>
    <mergeCell ref="AF45:AL45"/>
    <mergeCell ref="AF46:AL46"/>
    <mergeCell ref="AF47:AL47"/>
    <mergeCell ref="AF48:AL48"/>
    <mergeCell ref="AF37:AL37"/>
    <mergeCell ref="AF26:AL26"/>
    <mergeCell ref="AF27:AL27"/>
    <mergeCell ref="AF28:AL28"/>
    <mergeCell ref="AF29:AL29"/>
    <mergeCell ref="AF30:AL30"/>
    <mergeCell ref="AF31:AL31"/>
    <mergeCell ref="AF32:AL32"/>
    <mergeCell ref="AF33:AL33"/>
    <mergeCell ref="AF34:AL34"/>
    <mergeCell ref="AF35:AL35"/>
    <mergeCell ref="AF36:AL36"/>
    <mergeCell ref="AF25:AL25"/>
    <mergeCell ref="AF14:AL14"/>
    <mergeCell ref="AF15:AL15"/>
    <mergeCell ref="AF16:AL16"/>
    <mergeCell ref="AF17:AL17"/>
    <mergeCell ref="AF18:AL18"/>
    <mergeCell ref="AF19:AL19"/>
    <mergeCell ref="AF20:AL20"/>
    <mergeCell ref="AF21:AL21"/>
    <mergeCell ref="AF22:AL22"/>
    <mergeCell ref="AF23:AL23"/>
    <mergeCell ref="AF24:AL24"/>
    <mergeCell ref="AF13:AL13"/>
    <mergeCell ref="AF2:AL2"/>
    <mergeCell ref="AF3:AL3"/>
    <mergeCell ref="AF4:AL4"/>
    <mergeCell ref="AF5:AL5"/>
    <mergeCell ref="AF6:AL6"/>
    <mergeCell ref="AF7:AL7"/>
    <mergeCell ref="AF8:AL8"/>
    <mergeCell ref="AF9:AL9"/>
    <mergeCell ref="AF10:AL10"/>
    <mergeCell ref="AF11:AL11"/>
    <mergeCell ref="AF12:AL12"/>
  </mergeCells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26C7C-5D23-6741-8986-0BC58DA4E636}">
  <dimension ref="A1:I56"/>
  <sheetViews>
    <sheetView zoomScale="81" workbookViewId="0">
      <selection activeCell="C1" sqref="C1:C1048576"/>
    </sheetView>
  </sheetViews>
  <sheetFormatPr baseColWidth="10" defaultRowHeight="16" x14ac:dyDescent="0.2"/>
  <cols>
    <col min="1" max="1" width="21.6640625" customWidth="1"/>
    <col min="2" max="2" width="23.1640625" customWidth="1"/>
    <col min="3" max="3" width="24.6640625" customWidth="1"/>
    <col min="4" max="4" width="32.83203125" customWidth="1"/>
    <col min="5" max="5" width="16" customWidth="1"/>
    <col min="6" max="6" width="29.83203125" customWidth="1"/>
    <col min="7" max="7" width="26.5" customWidth="1"/>
    <col min="9" max="9" width="41.33203125" customWidth="1"/>
  </cols>
  <sheetData>
    <row r="1" spans="1:9" x14ac:dyDescent="0.2">
      <c r="A1" t="s">
        <v>0</v>
      </c>
      <c r="B1" t="s">
        <v>16</v>
      </c>
      <c r="C1" t="s">
        <v>348</v>
      </c>
      <c r="D1" t="s">
        <v>349</v>
      </c>
      <c r="E1" s="10" t="s">
        <v>20</v>
      </c>
      <c r="F1" t="s">
        <v>350</v>
      </c>
      <c r="G1" s="10" t="s">
        <v>30</v>
      </c>
      <c r="H1" t="s">
        <v>351</v>
      </c>
      <c r="I1" s="10" t="s">
        <v>352</v>
      </c>
    </row>
    <row r="2" spans="1:9" x14ac:dyDescent="0.2">
      <c r="A2" t="str">
        <f>Table1[[#This Row],[nombreTienda]]</f>
        <v>Armenia</v>
      </c>
      <c r="B2" s="12">
        <f>HYPERLINK("https://www.mattelsa.net//storelocator/index/view/id/"&amp;Table1[[#This Row],[idTienda]],Table1[[#This Row],[idTienda]])</f>
        <v>3</v>
      </c>
      <c r="C2" t="str">
        <f>CONCATENATE(Table2[[#This Row],[idTienda]]&amp;"_matt")</f>
        <v>3_matt</v>
      </c>
      <c r="D2" t="s">
        <v>319</v>
      </c>
      <c r="E2" s="10">
        <f>Table1[[#This Row],[idCiudad]]</f>
        <v>1</v>
      </c>
      <c r="F2" t="s">
        <v>320</v>
      </c>
      <c r="G2" s="10" t="str">
        <f>Table1[[#This Row],[nombreCiudad]]</f>
        <v>Armenia</v>
      </c>
      <c r="H2" t="s">
        <v>318</v>
      </c>
      <c r="I2" t="s">
        <v>321</v>
      </c>
    </row>
    <row r="3" spans="1:9" x14ac:dyDescent="0.2">
      <c r="A3" t="str">
        <f>Table1[[#This Row],[nombreTienda]]</f>
        <v>Barrancabermeja</v>
      </c>
      <c r="B3" s="12">
        <f>HYPERLINK("https://www.mattelsa.net//storelocator/index/view/id/"&amp;Table1[[#This Row],[idTienda]],Table1[[#This Row],[idTienda]])</f>
        <v>40</v>
      </c>
      <c r="C3" t="str">
        <f>CONCATENATE(Table2[[#This Row],[idTienda]]&amp;"_matt")</f>
        <v>40_matt</v>
      </c>
      <c r="D3" t="s">
        <v>319</v>
      </c>
      <c r="E3" s="10">
        <f>Table1[[#This Row],[idCiudad]]</f>
        <v>2</v>
      </c>
      <c r="F3" t="s">
        <v>320</v>
      </c>
      <c r="G3" s="10" t="str">
        <f>Table1[[#This Row],[nombreCiudad]]</f>
        <v>Barrancabermeja</v>
      </c>
      <c r="H3" t="s">
        <v>318</v>
      </c>
      <c r="I3" t="s">
        <v>322</v>
      </c>
    </row>
    <row r="4" spans="1:9" x14ac:dyDescent="0.2">
      <c r="A4" t="str">
        <f>Table1[[#This Row],[nombreTienda]]</f>
        <v>Prado</v>
      </c>
      <c r="B4" s="12">
        <f>HYPERLINK("https://www.mattelsa.net//storelocator/index/view/id/"&amp;Table1[[#This Row],[idTienda]],Table1[[#This Row],[idTienda]])</f>
        <v>4</v>
      </c>
      <c r="C4" t="str">
        <f>CONCATENATE(Table2[[#This Row],[idTienda]]&amp;"_matt")</f>
        <v>4_matt</v>
      </c>
      <c r="D4" t="s">
        <v>319</v>
      </c>
      <c r="E4" s="10">
        <f>Table1[[#This Row],[idCiudad]]</f>
        <v>3</v>
      </c>
      <c r="F4" t="s">
        <v>320</v>
      </c>
      <c r="G4" s="10" t="str">
        <f>Table1[[#This Row],[nombreCiudad]]</f>
        <v>Barranquilla</v>
      </c>
      <c r="H4" t="s">
        <v>318</v>
      </c>
      <c r="I4" t="s">
        <v>322</v>
      </c>
    </row>
    <row r="5" spans="1:9" x14ac:dyDescent="0.2">
      <c r="A5" t="str">
        <f>Table1[[#This Row],[nombreTienda]]</f>
        <v>Soledad</v>
      </c>
      <c r="B5" s="12">
        <f>HYPERLINK("https://www.mattelsa.net//storelocator/index/view/id/"&amp;Table1[[#This Row],[idTienda]],Table1[[#This Row],[idTienda]])</f>
        <v>68</v>
      </c>
      <c r="C5" t="str">
        <f>CONCATENATE(Table2[[#This Row],[idTienda]]&amp;"_matt")</f>
        <v>68_matt</v>
      </c>
      <c r="D5" t="s">
        <v>319</v>
      </c>
      <c r="E5" s="10">
        <f>Table1[[#This Row],[idCiudad]]</f>
        <v>3</v>
      </c>
      <c r="F5" t="s">
        <v>320</v>
      </c>
      <c r="G5" s="10" t="str">
        <f>Table1[[#This Row],[nombreCiudad]]</f>
        <v>Barranquilla</v>
      </c>
      <c r="H5" t="s">
        <v>318</v>
      </c>
      <c r="I5" t="s">
        <v>323</v>
      </c>
    </row>
    <row r="6" spans="1:9" x14ac:dyDescent="0.2">
      <c r="A6" t="str">
        <f>Table1[[#This Row],[nombreTienda]]</f>
        <v>Chapinero</v>
      </c>
      <c r="B6" s="12">
        <f>HYPERLINK("https://www.mattelsa.net//storelocator/index/view/id/"&amp;Table1[[#This Row],[idTienda]],Table1[[#This Row],[idTienda]])</f>
        <v>8</v>
      </c>
      <c r="C6" t="str">
        <f>CONCATENATE(Table2[[#This Row],[idTienda]]&amp;"_matt")</f>
        <v>8_matt</v>
      </c>
      <c r="D6" t="s">
        <v>319</v>
      </c>
      <c r="E6" s="10">
        <f>Table1[[#This Row],[idCiudad]]</f>
        <v>4</v>
      </c>
      <c r="F6" t="s">
        <v>320</v>
      </c>
      <c r="G6" s="10" t="str">
        <f>Table1[[#This Row],[nombreCiudad]]</f>
        <v>Bogotá</v>
      </c>
      <c r="H6" t="s">
        <v>318</v>
      </c>
      <c r="I6" t="s">
        <v>323</v>
      </c>
    </row>
    <row r="7" spans="1:9" x14ac:dyDescent="0.2">
      <c r="A7" t="str">
        <f>Table1[[#This Row],[nombreTienda]]</f>
        <v>Galerías</v>
      </c>
      <c r="B7" s="12">
        <f>HYPERLINK("https://www.mattelsa.net//storelocator/index/view/id/"&amp;Table1[[#This Row],[idTienda]],Table1[[#This Row],[idTienda]])</f>
        <v>12</v>
      </c>
      <c r="C7" t="str">
        <f>CONCATENATE(Table2[[#This Row],[idTienda]]&amp;"_matt")</f>
        <v>12_matt</v>
      </c>
      <c r="D7" t="s">
        <v>319</v>
      </c>
      <c r="E7" s="10">
        <f>Table1[[#This Row],[idCiudad]]</f>
        <v>4</v>
      </c>
      <c r="F7" t="s">
        <v>320</v>
      </c>
      <c r="G7" s="10" t="str">
        <f>Table1[[#This Row],[nombreCiudad]]</f>
        <v>Bogotá</v>
      </c>
      <c r="H7" t="s">
        <v>318</v>
      </c>
      <c r="I7" t="s">
        <v>324</v>
      </c>
    </row>
    <row r="8" spans="1:9" x14ac:dyDescent="0.2">
      <c r="A8" t="str">
        <f>Table1[[#This Row],[nombreTienda]]</f>
        <v>Cañaveral</v>
      </c>
      <c r="B8" s="12">
        <f>HYPERLINK("https://www.mattelsa.net//storelocator/index/view/id/"&amp;Table1[[#This Row],[idTienda]],Table1[[#This Row],[idTienda]])</f>
        <v>73</v>
      </c>
      <c r="C8" t="str">
        <f>CONCATENATE(Table2[[#This Row],[idTienda]]&amp;"_matt")</f>
        <v>73_matt</v>
      </c>
      <c r="D8" t="s">
        <v>319</v>
      </c>
      <c r="E8" s="10">
        <f>Table1[[#This Row],[idCiudad]]</f>
        <v>5</v>
      </c>
      <c r="F8" t="s">
        <v>320</v>
      </c>
      <c r="G8" s="10" t="str">
        <f>Table1[[#This Row],[nombreCiudad]]</f>
        <v>Bucaramanga</v>
      </c>
      <c r="H8" t="s">
        <v>318</v>
      </c>
      <c r="I8" t="s">
        <v>324</v>
      </c>
    </row>
    <row r="9" spans="1:9" x14ac:dyDescent="0.2">
      <c r="A9" t="str">
        <f>Table1[[#This Row],[nombreTienda]]</f>
        <v>La Aurora</v>
      </c>
      <c r="B9" s="12">
        <f>HYPERLINK("https://www.mattelsa.net//storelocator/index/view/id/"&amp;Table1[[#This Row],[idTienda]],Table1[[#This Row],[idTienda]])</f>
        <v>6</v>
      </c>
      <c r="C9" t="str">
        <f>CONCATENATE(Table2[[#This Row],[idTienda]]&amp;"_matt")</f>
        <v>6_matt</v>
      </c>
      <c r="D9" t="s">
        <v>319</v>
      </c>
      <c r="E9" s="10">
        <f>Table1[[#This Row],[idCiudad]]</f>
        <v>5</v>
      </c>
      <c r="F9" t="s">
        <v>320</v>
      </c>
      <c r="G9" s="10" t="str">
        <f>Table1[[#This Row],[nombreCiudad]]</f>
        <v>Bucaramanga</v>
      </c>
      <c r="H9" t="s">
        <v>318</v>
      </c>
      <c r="I9" t="s">
        <v>325</v>
      </c>
    </row>
    <row r="10" spans="1:9" x14ac:dyDescent="0.2">
      <c r="A10" t="str">
        <f>Table1[[#This Row],[nombreTienda]]</f>
        <v>Buenaventura</v>
      </c>
      <c r="B10" s="12">
        <f>HYPERLINK("https://www.mattelsa.net//storelocator/index/view/id/"&amp;Table1[[#This Row],[idTienda]],Table1[[#This Row],[idTienda]])</f>
        <v>51</v>
      </c>
      <c r="C10" t="str">
        <f>CONCATENATE(Table2[[#This Row],[idTienda]]&amp;"_matt")</f>
        <v>51_matt</v>
      </c>
      <c r="D10" t="s">
        <v>319</v>
      </c>
      <c r="E10" s="10">
        <f>Table1[[#This Row],[idCiudad]]</f>
        <v>6</v>
      </c>
      <c r="F10" t="s">
        <v>320</v>
      </c>
      <c r="G10" s="10" t="str">
        <f>Table1[[#This Row],[nombreCiudad]]</f>
        <v>Buenaventura</v>
      </c>
      <c r="H10" t="s">
        <v>318</v>
      </c>
      <c r="I10" t="s">
        <v>326</v>
      </c>
    </row>
    <row r="11" spans="1:9" x14ac:dyDescent="0.2">
      <c r="A11" t="str">
        <f>Table1[[#This Row],[nombreTienda]]</f>
        <v xml:space="preserve">Ciudad Jardín </v>
      </c>
      <c r="B11" s="12">
        <f>HYPERLINK("https://www.mattelsa.net//storelocator/index/view/id/"&amp;Table1[[#This Row],[idTienda]],Table1[[#This Row],[idTienda]])</f>
        <v>74</v>
      </c>
      <c r="C11" t="str">
        <f>CONCATENATE(Table2[[#This Row],[idTienda]]&amp;"_matt")</f>
        <v>74_matt</v>
      </c>
      <c r="D11" t="s">
        <v>319</v>
      </c>
      <c r="E11" s="10">
        <f>Table1[[#This Row],[idCiudad]]</f>
        <v>7</v>
      </c>
      <c r="F11" t="s">
        <v>320</v>
      </c>
      <c r="G11" s="10" t="str">
        <f>Table1[[#This Row],[nombreCiudad]]</f>
        <v>Cali</v>
      </c>
      <c r="H11" t="s">
        <v>318</v>
      </c>
      <c r="I11" t="s">
        <v>326</v>
      </c>
    </row>
    <row r="12" spans="1:9" x14ac:dyDescent="0.2">
      <c r="A12" t="str">
        <f>Table1[[#This Row],[nombreTienda]]</f>
        <v>La Flora</v>
      </c>
      <c r="B12" s="12">
        <f>HYPERLINK("https://www.mattelsa.net//storelocator/index/view/id/"&amp;Table1[[#This Row],[idTienda]],Table1[[#This Row],[idTienda]])</f>
        <v>17</v>
      </c>
      <c r="C12" t="str">
        <f>CONCATENATE(Table2[[#This Row],[idTienda]]&amp;"_matt")</f>
        <v>17_matt</v>
      </c>
      <c r="D12" t="s">
        <v>319</v>
      </c>
      <c r="E12" s="10">
        <f>Table1[[#This Row],[idCiudad]]</f>
        <v>7</v>
      </c>
      <c r="F12" t="s">
        <v>320</v>
      </c>
      <c r="G12" s="10" t="str">
        <f>Table1[[#This Row],[nombreCiudad]]</f>
        <v>Cali</v>
      </c>
      <c r="H12" t="s">
        <v>318</v>
      </c>
      <c r="I12" t="s">
        <v>326</v>
      </c>
    </row>
    <row r="13" spans="1:9" x14ac:dyDescent="0.2">
      <c r="A13" t="str">
        <f>Table1[[#This Row],[nombreTienda]]</f>
        <v>Limonar</v>
      </c>
      <c r="B13" s="12">
        <f>HYPERLINK("https://www.mattelsa.net//storelocator/index/view/id/"&amp;Table1[[#This Row],[idTienda]],Table1[[#This Row],[idTienda]])</f>
        <v>19</v>
      </c>
      <c r="C13" t="str">
        <f>CONCATENATE(Table2[[#This Row],[idTienda]]&amp;"_matt")</f>
        <v>19_matt</v>
      </c>
      <c r="D13" t="s">
        <v>319</v>
      </c>
      <c r="E13" s="10">
        <f>Table1[[#This Row],[idCiudad]]</f>
        <v>7</v>
      </c>
      <c r="F13" t="s">
        <v>320</v>
      </c>
      <c r="G13" s="10" t="str">
        <f>Table1[[#This Row],[nombreCiudad]]</f>
        <v>Cali</v>
      </c>
      <c r="H13" t="s">
        <v>318</v>
      </c>
      <c r="I13" t="s">
        <v>327</v>
      </c>
    </row>
    <row r="14" spans="1:9" x14ac:dyDescent="0.2">
      <c r="A14" t="str">
        <f>Table1[[#This Row],[nombreTienda]]</f>
        <v>Castellana</v>
      </c>
      <c r="B14" s="12">
        <f>HYPERLINK("https://www.mattelsa.net//storelocator/index/view/id/"&amp;Table1[[#This Row],[idTienda]],Table1[[#This Row],[idTienda]])</f>
        <v>16</v>
      </c>
      <c r="C14" t="str">
        <f>CONCATENATE(Table2[[#This Row],[idTienda]]&amp;"_matt")</f>
        <v>16_matt</v>
      </c>
      <c r="D14" t="s">
        <v>319</v>
      </c>
      <c r="E14" s="10">
        <f>Table1[[#This Row],[idCiudad]]</f>
        <v>8</v>
      </c>
      <c r="F14" t="s">
        <v>320</v>
      </c>
      <c r="G14" s="10" t="str">
        <f>Table1[[#This Row],[nombreCiudad]]</f>
        <v>Cartagena</v>
      </c>
      <c r="H14" t="s">
        <v>318</v>
      </c>
      <c r="I14" t="s">
        <v>328</v>
      </c>
    </row>
    <row r="15" spans="1:9" x14ac:dyDescent="0.2">
      <c r="A15" t="str">
        <f>Table1[[#This Row],[nombreTienda]]</f>
        <v>Cúcuta</v>
      </c>
      <c r="B15" s="12">
        <f>HYPERLINK("https://www.mattelsa.net//storelocator/index/view/id/"&amp;Table1[[#This Row],[idTienda]],Table1[[#This Row],[idTienda]])</f>
        <v>9</v>
      </c>
      <c r="C15" t="str">
        <f>CONCATENATE(Table2[[#This Row],[idTienda]]&amp;"_matt")</f>
        <v>9_matt</v>
      </c>
      <c r="D15" t="s">
        <v>319</v>
      </c>
      <c r="E15" s="10">
        <f>Table1[[#This Row],[idCiudad]]</f>
        <v>9</v>
      </c>
      <c r="F15" t="s">
        <v>320</v>
      </c>
      <c r="G15" s="10" t="str">
        <f>Table1[[#This Row],[nombreCiudad]]</f>
        <v>Cúcuta</v>
      </c>
      <c r="H15" t="s">
        <v>318</v>
      </c>
      <c r="I15" t="s">
        <v>329</v>
      </c>
    </row>
    <row r="16" spans="1:9" x14ac:dyDescent="0.2">
      <c r="A16" t="str">
        <f>Table1[[#This Row],[nombreTienda]]</f>
        <v>Florencia</v>
      </c>
      <c r="B16" s="12">
        <f>HYPERLINK("https://www.mattelsa.net//storelocator/index/view/id/"&amp;Table1[[#This Row],[idTienda]],Table1[[#This Row],[idTienda]])</f>
        <v>63</v>
      </c>
      <c r="C16" t="str">
        <f>CONCATENATE(Table2[[#This Row],[idTienda]]&amp;"_matt")</f>
        <v>63_matt</v>
      </c>
      <c r="D16" t="s">
        <v>319</v>
      </c>
      <c r="E16" s="10">
        <f>Table1[[#This Row],[idCiudad]]</f>
        <v>10</v>
      </c>
      <c r="F16" t="s">
        <v>320</v>
      </c>
      <c r="G16" s="10" t="str">
        <f>Table1[[#This Row],[nombreCiudad]]</f>
        <v>Florencia</v>
      </c>
      <c r="H16" t="s">
        <v>318</v>
      </c>
      <c r="I16" t="s">
        <v>330</v>
      </c>
    </row>
    <row r="17" spans="1:9" x14ac:dyDescent="0.2">
      <c r="A17" t="str">
        <f>Table1[[#This Row],[nombreTienda]]</f>
        <v>Ibagué</v>
      </c>
      <c r="B17" s="12">
        <f>HYPERLINK("https://www.mattelsa.net//storelocator/index/view/id/"&amp;Table1[[#This Row],[idTienda]],Table1[[#This Row],[idTienda]])</f>
        <v>15</v>
      </c>
      <c r="C17" t="str">
        <f>CONCATENATE(Table2[[#This Row],[idTienda]]&amp;"_matt")</f>
        <v>15_matt</v>
      </c>
      <c r="D17" t="s">
        <v>319</v>
      </c>
      <c r="E17" s="10">
        <f>Table1[[#This Row],[idCiudad]]</f>
        <v>11</v>
      </c>
      <c r="F17" t="s">
        <v>320</v>
      </c>
      <c r="G17" s="10" t="str">
        <f>Table1[[#This Row],[nombreCiudad]]</f>
        <v>Ibagué</v>
      </c>
      <c r="H17" t="s">
        <v>318</v>
      </c>
      <c r="I17" t="s">
        <v>331</v>
      </c>
    </row>
    <row r="18" spans="1:9" x14ac:dyDescent="0.2">
      <c r="A18" t="str">
        <f>Table1[[#This Row],[nombreTienda]]</f>
        <v>Manizales</v>
      </c>
      <c r="B18" s="12">
        <f>HYPERLINK("https://www.mattelsa.net//storelocator/index/view/id/"&amp;Table1[[#This Row],[idTienda]],Table1[[#This Row],[idTienda]])</f>
        <v>20</v>
      </c>
      <c r="C18" t="str">
        <f>CONCATENATE(Table2[[#This Row],[idTienda]]&amp;"_matt")</f>
        <v>20_matt</v>
      </c>
      <c r="D18" t="s">
        <v>319</v>
      </c>
      <c r="E18" s="10">
        <f>Table1[[#This Row],[idCiudad]]</f>
        <v>12</v>
      </c>
      <c r="F18" t="s">
        <v>320</v>
      </c>
      <c r="G18" s="10" t="str">
        <f>Table1[[#This Row],[nombreCiudad]]</f>
        <v>Manizales</v>
      </c>
      <c r="H18" t="s">
        <v>318</v>
      </c>
      <c r="I18" t="s">
        <v>332</v>
      </c>
    </row>
    <row r="19" spans="1:9" x14ac:dyDescent="0.2">
      <c r="A19" t="str">
        <f>Table1[[#This Row],[nombreTienda]]</f>
        <v>Apartadó</v>
      </c>
      <c r="B19" s="12">
        <f>HYPERLINK("https://www.mattelsa.net//storelocator/index/view/id/"&amp;Table1[[#This Row],[idTienda]],Table1[[#This Row],[idTienda]])</f>
        <v>2</v>
      </c>
      <c r="C19" t="str">
        <f>CONCATENATE(Table2[[#This Row],[idTienda]]&amp;"_matt")</f>
        <v>2_matt</v>
      </c>
      <c r="D19" t="s">
        <v>319</v>
      </c>
      <c r="E19" s="10">
        <f>Table1[[#This Row],[idCiudad]]</f>
        <v>13</v>
      </c>
      <c r="F19" t="s">
        <v>320</v>
      </c>
      <c r="G19" s="10" t="str">
        <f>Table1[[#This Row],[nombreCiudad]]</f>
        <v>Más Tiendas</v>
      </c>
      <c r="H19" t="s">
        <v>318</v>
      </c>
      <c r="I19" t="s">
        <v>332</v>
      </c>
    </row>
    <row r="20" spans="1:9" x14ac:dyDescent="0.2">
      <c r="A20" t="str">
        <f>Table1[[#This Row],[nombreTienda]]</f>
        <v>Cartago</v>
      </c>
      <c r="B20" s="12">
        <f>HYPERLINK("https://www.mattelsa.net//storelocator/index/view/id/"&amp;Table1[[#This Row],[idTienda]],Table1[[#This Row],[idTienda]])</f>
        <v>7</v>
      </c>
      <c r="C20" t="str">
        <f>CONCATENATE(Table2[[#This Row],[idTienda]]&amp;"_matt")</f>
        <v>7_matt</v>
      </c>
      <c r="D20" t="s">
        <v>319</v>
      </c>
      <c r="E20" s="10">
        <f>Table1[[#This Row],[idCiudad]]</f>
        <v>13</v>
      </c>
      <c r="F20" t="s">
        <v>320</v>
      </c>
      <c r="G20" s="10" t="str">
        <f>Table1[[#This Row],[nombreCiudad]]</f>
        <v>Más Tiendas</v>
      </c>
      <c r="H20" t="s">
        <v>318</v>
      </c>
      <c r="I20" t="s">
        <v>332</v>
      </c>
    </row>
    <row r="21" spans="1:9" x14ac:dyDescent="0.2">
      <c r="A21" t="str">
        <f>Table1[[#This Row],[nombreTienda]]</f>
        <v>San Gil</v>
      </c>
      <c r="B21" s="12">
        <f>HYPERLINK("https://www.mattelsa.net//storelocator/index/view/id/"&amp;Table1[[#This Row],[idTienda]],Table1[[#This Row],[idTienda]])</f>
        <v>29</v>
      </c>
      <c r="C21" t="str">
        <f>CONCATENATE(Table2[[#This Row],[idTienda]]&amp;"_matt")</f>
        <v>29_matt</v>
      </c>
      <c r="D21" t="s">
        <v>319</v>
      </c>
      <c r="E21" s="10">
        <f>Table1[[#This Row],[idCiudad]]</f>
        <v>13</v>
      </c>
      <c r="F21" t="s">
        <v>320</v>
      </c>
      <c r="G21" s="10" t="str">
        <f>Table1[[#This Row],[nombreCiudad]]</f>
        <v>Más Tiendas</v>
      </c>
      <c r="H21" t="s">
        <v>318</v>
      </c>
      <c r="I21" t="s">
        <v>332</v>
      </c>
    </row>
    <row r="22" spans="1:9" x14ac:dyDescent="0.2">
      <c r="A22" t="str">
        <f>Table1[[#This Row],[nombreTienda]]</f>
        <v>Santa Rosa de Cabal</v>
      </c>
      <c r="B22" s="12">
        <f>HYPERLINK("https://www.mattelsa.net//storelocator/index/view/id/"&amp;Table1[[#This Row],[idTienda]],Table1[[#This Row],[idTienda]])</f>
        <v>31</v>
      </c>
      <c r="C22" t="str">
        <f>CONCATENATE(Table2[[#This Row],[idTienda]]&amp;"_matt")</f>
        <v>31_matt</v>
      </c>
      <c r="D22" t="s">
        <v>319</v>
      </c>
      <c r="E22" s="10">
        <f>Table1[[#This Row],[idCiudad]]</f>
        <v>13</v>
      </c>
      <c r="F22" t="s">
        <v>320</v>
      </c>
      <c r="G22" s="10" t="str">
        <f>Table1[[#This Row],[nombreCiudad]]</f>
        <v>Más Tiendas</v>
      </c>
      <c r="H22" t="s">
        <v>318</v>
      </c>
      <c r="I22" t="s">
        <v>332</v>
      </c>
    </row>
    <row r="23" spans="1:9" x14ac:dyDescent="0.2">
      <c r="A23" t="str">
        <f>Table1[[#This Row],[nombreTienda]]</f>
        <v>Socorro</v>
      </c>
      <c r="B23" s="12">
        <f>HYPERLINK("https://www.mattelsa.net//storelocator/index/view/id/"&amp;Table1[[#This Row],[idTienda]],Table1[[#This Row],[idTienda]])</f>
        <v>33</v>
      </c>
      <c r="C23" t="str">
        <f>CONCATENATE(Table2[[#This Row],[idTienda]]&amp;"_matt")</f>
        <v>33_matt</v>
      </c>
      <c r="D23" t="s">
        <v>319</v>
      </c>
      <c r="E23" s="10">
        <f>Table1[[#This Row],[idCiudad]]</f>
        <v>13</v>
      </c>
      <c r="F23" t="s">
        <v>320</v>
      </c>
      <c r="G23" s="10" t="str">
        <f>Table1[[#This Row],[nombreCiudad]]</f>
        <v>Más Tiendas</v>
      </c>
      <c r="H23" t="s">
        <v>318</v>
      </c>
      <c r="I23" t="s">
        <v>332</v>
      </c>
    </row>
    <row r="24" spans="1:9" x14ac:dyDescent="0.2">
      <c r="A24" t="str">
        <f>Table1[[#This Row],[nombreTienda]]</f>
        <v>Ocaña</v>
      </c>
      <c r="B24" s="12">
        <f>HYPERLINK("https://www.mattelsa.net//storelocator/index/view/id/"&amp;Table1[[#This Row],[idTienda]],Table1[[#This Row],[idTienda]])</f>
        <v>39</v>
      </c>
      <c r="C24" t="str">
        <f>CONCATENATE(Table2[[#This Row],[idTienda]]&amp;"_matt")</f>
        <v>39_matt</v>
      </c>
      <c r="D24" t="s">
        <v>319</v>
      </c>
      <c r="E24" s="10">
        <f>Table1[[#This Row],[idCiudad]]</f>
        <v>13</v>
      </c>
      <c r="F24" t="s">
        <v>320</v>
      </c>
      <c r="G24" s="10" t="str">
        <f>Table1[[#This Row],[nombreCiudad]]</f>
        <v>Más Tiendas</v>
      </c>
      <c r="H24" t="s">
        <v>318</v>
      </c>
      <c r="I24" t="s">
        <v>332</v>
      </c>
    </row>
    <row r="25" spans="1:9" x14ac:dyDescent="0.2">
      <c r="A25" t="str">
        <f>Table1[[#This Row],[nombreTienda]]</f>
        <v>Palmira</v>
      </c>
      <c r="B25" s="12">
        <f>HYPERLINK("https://www.mattelsa.net//storelocator/index/view/id/"&amp;Table1[[#This Row],[idTienda]],Table1[[#This Row],[idTienda]])</f>
        <v>41</v>
      </c>
      <c r="C25" t="str">
        <f>CONCATENATE(Table2[[#This Row],[idTienda]]&amp;"_matt")</f>
        <v>41_matt</v>
      </c>
      <c r="D25" t="s">
        <v>319</v>
      </c>
      <c r="E25" s="10">
        <f>Table1[[#This Row],[idCiudad]]</f>
        <v>13</v>
      </c>
      <c r="F25" t="s">
        <v>320</v>
      </c>
      <c r="G25" s="10" t="str">
        <f>Table1[[#This Row],[nombreCiudad]]</f>
        <v>Más Tiendas</v>
      </c>
      <c r="H25" t="s">
        <v>318</v>
      </c>
      <c r="I25" t="s">
        <v>332</v>
      </c>
    </row>
    <row r="26" spans="1:9" x14ac:dyDescent="0.2">
      <c r="A26" t="str">
        <f>Table1[[#This Row],[nombreTienda]]</f>
        <v>Garzón</v>
      </c>
      <c r="B26" s="12">
        <f>HYPERLINK("https://www.mattelsa.net//storelocator/index/view/id/"&amp;Table1[[#This Row],[idTienda]],Table1[[#This Row],[idTienda]])</f>
        <v>45</v>
      </c>
      <c r="C26" t="str">
        <f>CONCATENATE(Table2[[#This Row],[idTienda]]&amp;"_matt")</f>
        <v>45_matt</v>
      </c>
      <c r="D26" t="s">
        <v>319</v>
      </c>
      <c r="E26" s="10">
        <f>Table1[[#This Row],[idCiudad]]</f>
        <v>13</v>
      </c>
      <c r="F26" t="s">
        <v>320</v>
      </c>
      <c r="G26" s="10" t="str">
        <f>Table1[[#This Row],[nombreCiudad]]</f>
        <v>Más Tiendas</v>
      </c>
      <c r="H26" t="s">
        <v>318</v>
      </c>
      <c r="I26" t="s">
        <v>332</v>
      </c>
    </row>
    <row r="27" spans="1:9" x14ac:dyDescent="0.2">
      <c r="A27" t="str">
        <f>Table1[[#This Row],[nombreTienda]]</f>
        <v>Pitalito</v>
      </c>
      <c r="B27" s="12">
        <f>HYPERLINK("https://www.mattelsa.net//storelocator/index/view/id/"&amp;Table1[[#This Row],[idTienda]],Table1[[#This Row],[idTienda]])</f>
        <v>48</v>
      </c>
      <c r="C27" t="str">
        <f>CONCATENATE(Table2[[#This Row],[idTienda]]&amp;"_matt")</f>
        <v>48_matt</v>
      </c>
      <c r="D27" t="s">
        <v>319</v>
      </c>
      <c r="E27" s="10">
        <f>Table1[[#This Row],[idCiudad]]</f>
        <v>13</v>
      </c>
      <c r="F27" t="s">
        <v>320</v>
      </c>
      <c r="G27" s="10" t="str">
        <f>Table1[[#This Row],[nombreCiudad]]</f>
        <v>Más Tiendas</v>
      </c>
      <c r="H27" t="s">
        <v>318</v>
      </c>
      <c r="I27" t="s">
        <v>332</v>
      </c>
    </row>
    <row r="28" spans="1:9" x14ac:dyDescent="0.2">
      <c r="A28" t="str">
        <f>Table1[[#This Row],[nombreTienda]]</f>
        <v>Fusagasugá</v>
      </c>
      <c r="B28" s="12">
        <f>HYPERLINK("https://www.mattelsa.net//storelocator/index/view/id/"&amp;Table1[[#This Row],[idTienda]],Table1[[#This Row],[idTienda]])</f>
        <v>50</v>
      </c>
      <c r="C28" t="str">
        <f>CONCATENATE(Table2[[#This Row],[idTienda]]&amp;"_matt")</f>
        <v>50_matt</v>
      </c>
      <c r="D28" t="s">
        <v>319</v>
      </c>
      <c r="E28" s="10">
        <f>Table1[[#This Row],[idCiudad]]</f>
        <v>13</v>
      </c>
      <c r="F28" t="s">
        <v>320</v>
      </c>
      <c r="G28" s="10" t="str">
        <f>Table1[[#This Row],[nombreCiudad]]</f>
        <v>Más Tiendas</v>
      </c>
      <c r="H28" t="s">
        <v>318</v>
      </c>
      <c r="I28" t="s">
        <v>332</v>
      </c>
    </row>
    <row r="29" spans="1:9" x14ac:dyDescent="0.2">
      <c r="A29" t="str">
        <f>Table1[[#This Row],[nombreTienda]]</f>
        <v>Caucasia</v>
      </c>
      <c r="B29" s="12">
        <f>HYPERLINK("https://www.mattelsa.net//storelocator/index/view/id/"&amp;Table1[[#This Row],[idTienda]],Table1[[#This Row],[idTienda]])</f>
        <v>52</v>
      </c>
      <c r="C29" t="str">
        <f>CONCATENATE(Table2[[#This Row],[idTienda]]&amp;"_matt")</f>
        <v>52_matt</v>
      </c>
      <c r="D29" t="s">
        <v>319</v>
      </c>
      <c r="E29" s="10">
        <f>Table1[[#This Row],[idCiudad]]</f>
        <v>13</v>
      </c>
      <c r="F29" t="s">
        <v>320</v>
      </c>
      <c r="G29" s="10" t="str">
        <f>Table1[[#This Row],[nombreCiudad]]</f>
        <v>Más Tiendas</v>
      </c>
      <c r="H29" t="s">
        <v>318</v>
      </c>
      <c r="I29" t="s">
        <v>332</v>
      </c>
    </row>
    <row r="30" spans="1:9" x14ac:dyDescent="0.2">
      <c r="A30" t="str">
        <f>Table1[[#This Row],[nombreTienda]]</f>
        <v>Pamplona</v>
      </c>
      <c r="B30" s="12">
        <f>HYPERLINK("https://www.mattelsa.net//storelocator/index/view/id/"&amp;Table1[[#This Row],[idTienda]],Table1[[#This Row],[idTienda]])</f>
        <v>54</v>
      </c>
      <c r="C30" t="str">
        <f>CONCATENATE(Table2[[#This Row],[idTienda]]&amp;"_matt")</f>
        <v>54_matt</v>
      </c>
      <c r="D30" t="s">
        <v>319</v>
      </c>
      <c r="E30" s="10">
        <f>Table1[[#This Row],[idCiudad]]</f>
        <v>13</v>
      </c>
      <c r="F30" t="s">
        <v>320</v>
      </c>
      <c r="G30" s="10" t="str">
        <f>Table1[[#This Row],[nombreCiudad]]</f>
        <v>Más Tiendas</v>
      </c>
      <c r="H30" t="s">
        <v>318</v>
      </c>
      <c r="I30" t="s">
        <v>332</v>
      </c>
    </row>
    <row r="31" spans="1:9" x14ac:dyDescent="0.2">
      <c r="A31" t="str">
        <f>Table1[[#This Row],[nombreTienda]]</f>
        <v>La Dorada</v>
      </c>
      <c r="B31" s="12">
        <f>HYPERLINK("https://www.mattelsa.net//storelocator/index/view/id/"&amp;Table1[[#This Row],[idTienda]],Table1[[#This Row],[idTienda]])</f>
        <v>56</v>
      </c>
      <c r="C31" t="str">
        <f>CONCATENATE(Table2[[#This Row],[idTienda]]&amp;"_matt")</f>
        <v>56_matt</v>
      </c>
      <c r="D31" t="s">
        <v>319</v>
      </c>
      <c r="E31" s="10">
        <f>Table1[[#This Row],[idCiudad]]</f>
        <v>13</v>
      </c>
      <c r="F31" t="s">
        <v>320</v>
      </c>
      <c r="G31" s="10" t="str">
        <f>Table1[[#This Row],[nombreCiudad]]</f>
        <v>Más Tiendas</v>
      </c>
      <c r="H31" t="s">
        <v>318</v>
      </c>
      <c r="I31" t="s">
        <v>332</v>
      </c>
    </row>
    <row r="32" spans="1:9" x14ac:dyDescent="0.2">
      <c r="A32" t="str">
        <f>Table1[[#This Row],[nombreTienda]]</f>
        <v>Caldas</v>
      </c>
      <c r="B32" s="12">
        <f>HYPERLINK("https://www.mattelsa.net//storelocator/index/view/id/"&amp;Table1[[#This Row],[idTienda]],Table1[[#This Row],[idTienda]])</f>
        <v>58</v>
      </c>
      <c r="C32" t="str">
        <f>CONCATENATE(Table2[[#This Row],[idTienda]]&amp;"_matt")</f>
        <v>58_matt</v>
      </c>
      <c r="D32" t="s">
        <v>319</v>
      </c>
      <c r="E32" s="10">
        <f>Table1[[#This Row],[idCiudad]]</f>
        <v>13</v>
      </c>
      <c r="F32" t="s">
        <v>320</v>
      </c>
      <c r="G32" s="10" t="str">
        <f>Table1[[#This Row],[nombreCiudad]]</f>
        <v>Más Tiendas</v>
      </c>
      <c r="H32" t="s">
        <v>318</v>
      </c>
      <c r="I32" t="s">
        <v>332</v>
      </c>
    </row>
    <row r="33" spans="1:9" x14ac:dyDescent="0.2">
      <c r="A33" t="str">
        <f>Table1[[#This Row],[nombreTienda]]</f>
        <v>Girardot</v>
      </c>
      <c r="B33" s="12">
        <f>HYPERLINK("https://www.mattelsa.net//storelocator/index/view/id/"&amp;Table1[[#This Row],[idTienda]],Table1[[#This Row],[idTienda]])</f>
        <v>59</v>
      </c>
      <c r="C33" t="str">
        <f>CONCATENATE(Table2[[#This Row],[idTienda]]&amp;"_matt")</f>
        <v>59_matt</v>
      </c>
      <c r="D33" t="s">
        <v>319</v>
      </c>
      <c r="E33" s="10">
        <f>Table1[[#This Row],[idCiudad]]</f>
        <v>13</v>
      </c>
      <c r="F33" t="s">
        <v>320</v>
      </c>
      <c r="G33" s="10" t="str">
        <f>Table1[[#This Row],[nombreCiudad]]</f>
        <v>Más Tiendas</v>
      </c>
      <c r="H33" t="s">
        <v>318</v>
      </c>
      <c r="I33" t="s">
        <v>332</v>
      </c>
    </row>
    <row r="34" spans="1:9" x14ac:dyDescent="0.2">
      <c r="A34" t="str">
        <f>Table1[[#This Row],[nombreTienda]]</f>
        <v>Yarumal</v>
      </c>
      <c r="B34" s="12">
        <f>HYPERLINK("https://www.mattelsa.net//storelocator/index/view/id/"&amp;Table1[[#This Row],[idTienda]],Table1[[#This Row],[idTienda]])</f>
        <v>64</v>
      </c>
      <c r="C34" t="str">
        <f>CONCATENATE(Table2[[#This Row],[idTienda]]&amp;"_matt")</f>
        <v>64_matt</v>
      </c>
      <c r="D34" t="s">
        <v>319</v>
      </c>
      <c r="E34" s="10">
        <f>Table1[[#This Row],[idCiudad]]</f>
        <v>13</v>
      </c>
      <c r="F34" t="s">
        <v>320</v>
      </c>
      <c r="G34" s="10" t="str">
        <f>Table1[[#This Row],[nombreCiudad]]</f>
        <v>Más Tiendas</v>
      </c>
      <c r="H34" t="s">
        <v>318</v>
      </c>
      <c r="I34" t="s">
        <v>332</v>
      </c>
    </row>
    <row r="35" spans="1:9" x14ac:dyDescent="0.2">
      <c r="A35" t="str">
        <f>Table1[[#This Row],[nombreTienda]]</f>
        <v>Barbosa - Santander</v>
      </c>
      <c r="B35" s="12">
        <f>HYPERLINK("https://www.mattelsa.net//storelocator/index/view/id/"&amp;Table1[[#This Row],[idTienda]],Table1[[#This Row],[idTienda]])</f>
        <v>65</v>
      </c>
      <c r="C35" t="str">
        <f>CONCATENATE(Table2[[#This Row],[idTienda]]&amp;"_matt")</f>
        <v>65_matt</v>
      </c>
      <c r="D35" t="s">
        <v>319</v>
      </c>
      <c r="E35" s="10">
        <f>Table1[[#This Row],[idCiudad]]</f>
        <v>13</v>
      </c>
      <c r="F35" t="s">
        <v>320</v>
      </c>
      <c r="G35" s="10" t="str">
        <f>Table1[[#This Row],[nombreCiudad]]</f>
        <v>Más Tiendas</v>
      </c>
      <c r="H35" t="s">
        <v>318</v>
      </c>
      <c r="I35" t="s">
        <v>333</v>
      </c>
    </row>
    <row r="36" spans="1:9" x14ac:dyDescent="0.2">
      <c r="A36" t="str">
        <f>Table1[[#This Row],[nombreTienda]]</f>
        <v>Laureles</v>
      </c>
      <c r="B36" s="12">
        <f>HYPERLINK("https://www.mattelsa.net//storelocator/index/view/id/"&amp;Table1[[#This Row],[idTienda]],Table1[[#This Row],[idTienda]])</f>
        <v>18</v>
      </c>
      <c r="C36" t="str">
        <f>CONCATENATE(Table2[[#This Row],[idTienda]]&amp;"_matt")</f>
        <v>18_matt</v>
      </c>
      <c r="D36" t="s">
        <v>319</v>
      </c>
      <c r="E36" s="10">
        <f>Table1[[#This Row],[idCiudad]]</f>
        <v>14</v>
      </c>
      <c r="F36" t="s">
        <v>320</v>
      </c>
      <c r="G36" s="10" t="str">
        <f>Table1[[#This Row],[nombreCiudad]]</f>
        <v>Medellín</v>
      </c>
      <c r="H36" t="s">
        <v>318</v>
      </c>
      <c r="I36" t="s">
        <v>333</v>
      </c>
    </row>
    <row r="37" spans="1:9" x14ac:dyDescent="0.2">
      <c r="A37" t="str">
        <f>Table1[[#This Row],[nombreTienda]]</f>
        <v>Sabaneta</v>
      </c>
      <c r="B37" s="12">
        <f>HYPERLINK("https://www.mattelsa.net//storelocator/index/view/id/"&amp;Table1[[#This Row],[idTienda]],Table1[[#This Row],[idTienda]])</f>
        <v>49</v>
      </c>
      <c r="C37" t="str">
        <f>CONCATENATE(Table2[[#This Row],[idTienda]]&amp;"_matt")</f>
        <v>49_matt</v>
      </c>
      <c r="D37" t="s">
        <v>319</v>
      </c>
      <c r="E37" s="10">
        <f>Table1[[#This Row],[idCiudad]]</f>
        <v>14</v>
      </c>
      <c r="F37" t="s">
        <v>320</v>
      </c>
      <c r="G37" s="10" t="str">
        <f>Table1[[#This Row],[nombreCiudad]]</f>
        <v>Medellín</v>
      </c>
      <c r="H37" t="s">
        <v>318</v>
      </c>
      <c r="I37" t="s">
        <v>333</v>
      </c>
    </row>
    <row r="38" spans="1:9" x14ac:dyDescent="0.2">
      <c r="A38" t="str">
        <f>Table1[[#This Row],[nombreTienda]]</f>
        <v>Ruta N</v>
      </c>
      <c r="B38" s="12">
        <f>HYPERLINK("https://www.mattelsa.net//storelocator/index/view/id/"&amp;Table1[[#This Row],[idTienda]],Table1[[#This Row],[idTienda]])</f>
        <v>69</v>
      </c>
      <c r="C38" t="str">
        <f>CONCATENATE(Table2[[#This Row],[idTienda]]&amp;"_matt")</f>
        <v>69_matt</v>
      </c>
      <c r="D38" t="s">
        <v>319</v>
      </c>
      <c r="E38" s="10">
        <f>Table1[[#This Row],[idCiudad]]</f>
        <v>14</v>
      </c>
      <c r="F38" t="s">
        <v>320</v>
      </c>
      <c r="G38" s="10" t="str">
        <f>Table1[[#This Row],[nombreCiudad]]</f>
        <v>Medellín</v>
      </c>
      <c r="H38" t="s">
        <v>318</v>
      </c>
      <c r="I38" t="s">
        <v>333</v>
      </c>
    </row>
    <row r="39" spans="1:9" x14ac:dyDescent="0.2">
      <c r="A39" t="str">
        <f>Table1[[#This Row],[nombreTienda]]</f>
        <v>Florida</v>
      </c>
      <c r="B39" s="12">
        <f>HYPERLINK("https://www.mattelsa.net//storelocator/index/view/id/"&amp;Table1[[#This Row],[idTienda]],Table1[[#This Row],[idTienda]])</f>
        <v>71</v>
      </c>
      <c r="C39" t="str">
        <f>CONCATENATE(Table2[[#This Row],[idTienda]]&amp;"_matt")</f>
        <v>71_matt</v>
      </c>
      <c r="D39" t="s">
        <v>319</v>
      </c>
      <c r="E39" s="10">
        <f>Table1[[#This Row],[idCiudad]]</f>
        <v>14</v>
      </c>
      <c r="F39" t="s">
        <v>320</v>
      </c>
      <c r="G39" s="10" t="str">
        <f>Table1[[#This Row],[nombreCiudad]]</f>
        <v>Medellín</v>
      </c>
      <c r="H39" t="s">
        <v>318</v>
      </c>
      <c r="I39" t="s">
        <v>333</v>
      </c>
    </row>
    <row r="40" spans="1:9" x14ac:dyDescent="0.2">
      <c r="A40" t="str">
        <f>Table1[[#This Row],[nombreTienda]]</f>
        <v>Tesoro</v>
      </c>
      <c r="B40" s="12">
        <f>HYPERLINK("https://www.mattelsa.net//storelocator/index/view/id/"&amp;Table1[[#This Row],[idTienda]],Table1[[#This Row],[idTienda]])</f>
        <v>70</v>
      </c>
      <c r="C40" t="str">
        <f>CONCATENATE(Table2[[#This Row],[idTienda]]&amp;"_matt")</f>
        <v>70_matt</v>
      </c>
      <c r="D40" t="s">
        <v>319</v>
      </c>
      <c r="E40" s="10">
        <f>Table1[[#This Row],[idCiudad]]</f>
        <v>14</v>
      </c>
      <c r="F40" t="s">
        <v>320</v>
      </c>
      <c r="G40" s="10" t="str">
        <f>Table1[[#This Row],[nombreCiudad]]</f>
        <v>Medellín</v>
      </c>
      <c r="H40" t="s">
        <v>318</v>
      </c>
      <c r="I40" t="s">
        <v>333</v>
      </c>
    </row>
    <row r="41" spans="1:9" x14ac:dyDescent="0.2">
      <c r="A41" t="str">
        <f>Table1[[#This Row],[nombreTienda]]</f>
        <v>Poblado</v>
      </c>
      <c r="B41" s="12">
        <f>HYPERLINK("https://www.mattelsa.net//storelocator/index/view/id/"&amp;Table1[[#This Row],[idTienda]],Table1[[#This Row],[idTienda]])</f>
        <v>25</v>
      </c>
      <c r="C41" t="str">
        <f>CONCATENATE(Table2[[#This Row],[idTienda]]&amp;"_matt")</f>
        <v>25_matt</v>
      </c>
      <c r="D41" t="s">
        <v>319</v>
      </c>
      <c r="E41" s="10">
        <f>Table1[[#This Row],[idCiudad]]</f>
        <v>14</v>
      </c>
      <c r="F41" t="s">
        <v>320</v>
      </c>
      <c r="G41" s="10" t="str">
        <f>Table1[[#This Row],[nombreCiudad]]</f>
        <v>Medellín</v>
      </c>
      <c r="H41" t="s">
        <v>318</v>
      </c>
      <c r="I41" t="s">
        <v>333</v>
      </c>
    </row>
    <row r="42" spans="1:9" x14ac:dyDescent="0.2">
      <c r="A42" t="str">
        <f>Table1[[#This Row],[nombreTienda]]</f>
        <v>Bello</v>
      </c>
      <c r="B42" s="12">
        <f>HYPERLINK("https://www.mattelsa.net//storelocator/index/view/id/"&amp;Table1[[#This Row],[idTienda]],Table1[[#This Row],[idTienda]])</f>
        <v>5</v>
      </c>
      <c r="C42" t="str">
        <f>CONCATENATE(Table2[[#This Row],[idTienda]]&amp;"_matt")</f>
        <v>5_matt</v>
      </c>
      <c r="D42" t="s">
        <v>319</v>
      </c>
      <c r="E42" s="10">
        <f>Table1[[#This Row],[idCiudad]]</f>
        <v>14</v>
      </c>
      <c r="F42" t="s">
        <v>320</v>
      </c>
      <c r="G42" s="10" t="str">
        <f>Table1[[#This Row],[nombreCiudad]]</f>
        <v>Medellín</v>
      </c>
      <c r="H42" t="s">
        <v>318</v>
      </c>
      <c r="I42" t="s">
        <v>334</v>
      </c>
    </row>
    <row r="43" spans="1:9" x14ac:dyDescent="0.2">
      <c r="A43" t="str">
        <f>Table1[[#This Row],[nombreTienda]]</f>
        <v>Montería</v>
      </c>
      <c r="B43" s="12">
        <f>HYPERLINK("https://www.mattelsa.net//storelocator/index/view/id/"&amp;Table1[[#This Row],[idTienda]],Table1[[#This Row],[idTienda]])</f>
        <v>21</v>
      </c>
      <c r="C43" t="str">
        <f>CONCATENATE(Table2[[#This Row],[idTienda]]&amp;"_matt")</f>
        <v>21_matt</v>
      </c>
      <c r="D43" t="s">
        <v>319</v>
      </c>
      <c r="E43" s="10">
        <f>Table1[[#This Row],[idCiudad]]</f>
        <v>15</v>
      </c>
      <c r="F43" t="s">
        <v>320</v>
      </c>
      <c r="G43" s="10" t="str">
        <f>Table1[[#This Row],[nombreCiudad]]</f>
        <v>Montería</v>
      </c>
      <c r="H43" t="s">
        <v>318</v>
      </c>
      <c r="I43" t="s">
        <v>335</v>
      </c>
    </row>
    <row r="44" spans="1:9" x14ac:dyDescent="0.2">
      <c r="A44" t="str">
        <f>Table1[[#This Row],[nombreTienda]]</f>
        <v>Neiva</v>
      </c>
      <c r="B44" s="12">
        <f>HYPERLINK("https://www.mattelsa.net//storelocator/index/view/id/"&amp;Table1[[#This Row],[idTienda]],Table1[[#This Row],[idTienda]])</f>
        <v>22</v>
      </c>
      <c r="C44" t="str">
        <f>CONCATENATE(Table2[[#This Row],[idTienda]]&amp;"_matt")</f>
        <v>22_matt</v>
      </c>
      <c r="D44" t="s">
        <v>319</v>
      </c>
      <c r="E44" s="10">
        <f>Table1[[#This Row],[idCiudad]]</f>
        <v>16</v>
      </c>
      <c r="F44" t="s">
        <v>320</v>
      </c>
      <c r="G44" s="10" t="str">
        <f>Table1[[#This Row],[nombreCiudad]]</f>
        <v>Neiva</v>
      </c>
      <c r="H44" t="s">
        <v>318</v>
      </c>
      <c r="I44" t="s">
        <v>336</v>
      </c>
    </row>
    <row r="45" spans="1:9" x14ac:dyDescent="0.2">
      <c r="A45" t="str">
        <f>Table1[[#This Row],[nombreTienda]]</f>
        <v>Pasto</v>
      </c>
      <c r="B45" s="12">
        <f>HYPERLINK("https://www.mattelsa.net//storelocator/index/view/id/"&amp;Table1[[#This Row],[idTienda]],Table1[[#This Row],[idTienda]])</f>
        <v>66</v>
      </c>
      <c r="C45" t="str">
        <f>CONCATENATE(Table2[[#This Row],[idTienda]]&amp;"_matt")</f>
        <v>66_matt</v>
      </c>
      <c r="D45" t="s">
        <v>319</v>
      </c>
      <c r="E45" s="10">
        <f>Table1[[#This Row],[idCiudad]]</f>
        <v>17</v>
      </c>
      <c r="F45" t="s">
        <v>320</v>
      </c>
      <c r="G45" s="10" t="str">
        <f>Table1[[#This Row],[nombreCiudad]]</f>
        <v>Pasto</v>
      </c>
      <c r="H45" t="s">
        <v>318</v>
      </c>
      <c r="I45" t="s">
        <v>337</v>
      </c>
    </row>
    <row r="46" spans="1:9" x14ac:dyDescent="0.2">
      <c r="A46" t="str">
        <f>Table1[[#This Row],[nombreTienda]]</f>
        <v>Pereira</v>
      </c>
      <c r="B46" s="12">
        <f>HYPERLINK("https://www.mattelsa.net//storelocator/index/view/id/"&amp;Table1[[#This Row],[idTienda]],Table1[[#This Row],[idTienda]])</f>
        <v>24</v>
      </c>
      <c r="C46" t="str">
        <f>CONCATENATE(Table2[[#This Row],[idTienda]]&amp;"_matt")</f>
        <v>24_matt</v>
      </c>
      <c r="D46" t="s">
        <v>319</v>
      </c>
      <c r="E46" s="10">
        <f>Table1[[#This Row],[idCiudad]]</f>
        <v>18</v>
      </c>
      <c r="F46" t="s">
        <v>320</v>
      </c>
      <c r="G46" s="10" t="str">
        <f>Table1[[#This Row],[nombreCiudad]]</f>
        <v>Pereira</v>
      </c>
      <c r="H46" t="s">
        <v>318</v>
      </c>
      <c r="I46" t="s">
        <v>338</v>
      </c>
    </row>
    <row r="47" spans="1:9" x14ac:dyDescent="0.2">
      <c r="A47" t="str">
        <f>Table1[[#This Row],[nombreTienda]]</f>
        <v>Popayán</v>
      </c>
      <c r="B47" s="12">
        <f>HYPERLINK("https://www.mattelsa.net//storelocator/index/view/id/"&amp;Table1[[#This Row],[idTienda]],Table1[[#This Row],[idTienda]])</f>
        <v>26</v>
      </c>
      <c r="C47" t="str">
        <f>CONCATENATE(Table2[[#This Row],[idTienda]]&amp;"_matt")</f>
        <v>26_matt</v>
      </c>
      <c r="D47" t="s">
        <v>319</v>
      </c>
      <c r="E47" s="10">
        <f>Table1[[#This Row],[idCiudad]]</f>
        <v>19</v>
      </c>
      <c r="F47" t="s">
        <v>320</v>
      </c>
      <c r="G47" s="10" t="str">
        <f>Table1[[#This Row],[nombreCiudad]]</f>
        <v>Popayán</v>
      </c>
      <c r="H47" t="s">
        <v>318</v>
      </c>
      <c r="I47" t="s">
        <v>339</v>
      </c>
    </row>
    <row r="48" spans="1:9" x14ac:dyDescent="0.2">
      <c r="A48" t="str">
        <f>Table1[[#This Row],[nombreTienda]]</f>
        <v>Quibdó</v>
      </c>
      <c r="B48" s="12">
        <f>HYPERLINK("https://www.mattelsa.net//storelocator/index/view/id/"&amp;Table1[[#This Row],[idTienda]],Table1[[#This Row],[idTienda]])</f>
        <v>75</v>
      </c>
      <c r="C48" t="str">
        <f>CONCATENATE(Table2[[#This Row],[idTienda]]&amp;"_matt")</f>
        <v>75_matt</v>
      </c>
      <c r="D48" t="s">
        <v>319</v>
      </c>
      <c r="E48" s="10">
        <f>Table1[[#This Row],[idCiudad]]</f>
        <v>20</v>
      </c>
      <c r="F48" t="s">
        <v>320</v>
      </c>
      <c r="G48" s="10" t="str">
        <f>Table1[[#This Row],[nombreCiudad]]</f>
        <v>Quibdó</v>
      </c>
      <c r="H48" t="s">
        <v>318</v>
      </c>
      <c r="I48" t="s">
        <v>340</v>
      </c>
    </row>
    <row r="49" spans="1:9" x14ac:dyDescent="0.2">
      <c r="A49" t="str">
        <f>Table1[[#This Row],[nombreTienda]]</f>
        <v>Rionegro</v>
      </c>
      <c r="B49" s="12">
        <f>HYPERLINK("https://www.mattelsa.net//storelocator/index/view/id/"&amp;Table1[[#This Row],[idTienda]],Table1[[#This Row],[idTienda]])</f>
        <v>27</v>
      </c>
      <c r="C49" t="str">
        <f>CONCATENATE(Table2[[#This Row],[idTienda]]&amp;"_matt")</f>
        <v>27_matt</v>
      </c>
      <c r="D49" t="s">
        <v>319</v>
      </c>
      <c r="E49" s="10">
        <f>Table1[[#This Row],[idCiudad]]</f>
        <v>21</v>
      </c>
      <c r="F49" t="s">
        <v>320</v>
      </c>
      <c r="G49" s="10" t="str">
        <f>Table1[[#This Row],[nombreCiudad]]</f>
        <v>Rionegro</v>
      </c>
      <c r="H49" t="s">
        <v>318</v>
      </c>
      <c r="I49" t="s">
        <v>341</v>
      </c>
    </row>
    <row r="50" spans="1:9" x14ac:dyDescent="0.2">
      <c r="A50" t="str">
        <f>Table1[[#This Row],[nombreTienda]]</f>
        <v>San Andrés</v>
      </c>
      <c r="B50" s="12">
        <f>HYPERLINK("https://www.mattelsa.net//storelocator/index/view/id/"&amp;Table1[[#This Row],[idTienda]],Table1[[#This Row],[idTienda]])</f>
        <v>28</v>
      </c>
      <c r="C50" t="str">
        <f>CONCATENATE(Table2[[#This Row],[idTienda]]&amp;"_matt")</f>
        <v>28_matt</v>
      </c>
      <c r="D50" t="s">
        <v>319</v>
      </c>
      <c r="E50" s="10">
        <f>Table1[[#This Row],[idCiudad]]</f>
        <v>22</v>
      </c>
      <c r="F50" t="s">
        <v>320</v>
      </c>
      <c r="G50" s="10" t="str">
        <f>Table1[[#This Row],[nombreCiudad]]</f>
        <v>San Andrés</v>
      </c>
      <c r="H50" t="s">
        <v>318</v>
      </c>
      <c r="I50" t="s">
        <v>342</v>
      </c>
    </row>
    <row r="51" spans="1:9" x14ac:dyDescent="0.2">
      <c r="A51" t="str">
        <f>Table1[[#This Row],[nombreTienda]]</f>
        <v>Santa Marta</v>
      </c>
      <c r="B51" s="12">
        <f>HYPERLINK("https://www.mattelsa.net//storelocator/index/view/id/"&amp;Table1[[#This Row],[idTienda]],Table1[[#This Row],[idTienda]])</f>
        <v>30</v>
      </c>
      <c r="C51" t="str">
        <f>CONCATENATE(Table2[[#This Row],[idTienda]]&amp;"_matt")</f>
        <v>30_matt</v>
      </c>
      <c r="D51" t="s">
        <v>319</v>
      </c>
      <c r="E51" s="10">
        <f>Table1[[#This Row],[idCiudad]]</f>
        <v>23</v>
      </c>
      <c r="F51" t="s">
        <v>320</v>
      </c>
      <c r="G51" s="10" t="str">
        <f>Table1[[#This Row],[nombreCiudad]]</f>
        <v>Santa Marta</v>
      </c>
      <c r="H51" t="s">
        <v>318</v>
      </c>
      <c r="I51" t="s">
        <v>343</v>
      </c>
    </row>
    <row r="52" spans="1:9" x14ac:dyDescent="0.2">
      <c r="A52" t="str">
        <f>Table1[[#This Row],[nombreTienda]]</f>
        <v>Tuluá</v>
      </c>
      <c r="B52" s="12">
        <f>HYPERLINK("https://www.mattelsa.net//storelocator/index/view/id/"&amp;Table1[[#This Row],[idTienda]],Table1[[#This Row],[idTienda]])</f>
        <v>34</v>
      </c>
      <c r="C52" t="str">
        <f>CONCATENATE(Table2[[#This Row],[idTienda]]&amp;"_matt")</f>
        <v>34_matt</v>
      </c>
      <c r="D52" t="s">
        <v>319</v>
      </c>
      <c r="E52" s="10">
        <f>Table1[[#This Row],[idCiudad]]</f>
        <v>24</v>
      </c>
      <c r="F52" t="s">
        <v>320</v>
      </c>
      <c r="G52" s="10" t="str">
        <f>Table1[[#This Row],[nombreCiudad]]</f>
        <v>Tuluá</v>
      </c>
      <c r="H52" t="s">
        <v>318</v>
      </c>
      <c r="I52" t="s">
        <v>344</v>
      </c>
    </row>
    <row r="53" spans="1:9" x14ac:dyDescent="0.2">
      <c r="A53" t="str">
        <f>Table1[[#This Row],[nombreTienda]]</f>
        <v>Tunja</v>
      </c>
      <c r="B53" s="12">
        <f>HYPERLINK("https://www.mattelsa.net//storelocator/index/view/id/"&amp;Table1[[#This Row],[idTienda]],Table1[[#This Row],[idTienda]])</f>
        <v>67</v>
      </c>
      <c r="C53" t="str">
        <f>CONCATENATE(Table2[[#This Row],[idTienda]]&amp;"_matt")</f>
        <v>67_matt</v>
      </c>
      <c r="D53" t="s">
        <v>319</v>
      </c>
      <c r="E53" s="10">
        <f>Table1[[#This Row],[idCiudad]]</f>
        <v>25</v>
      </c>
      <c r="F53" t="s">
        <v>320</v>
      </c>
      <c r="G53" s="10" t="str">
        <f>Table1[[#This Row],[nombreCiudad]]</f>
        <v>Tunja</v>
      </c>
      <c r="H53" t="s">
        <v>318</v>
      </c>
      <c r="I53" t="s">
        <v>345</v>
      </c>
    </row>
    <row r="54" spans="1:9" x14ac:dyDescent="0.2">
      <c r="A54" t="str">
        <f>Table1[[#This Row],[nombreTienda]]</f>
        <v>Valledupar</v>
      </c>
      <c r="B54" s="12">
        <f>HYPERLINK("https://www.mattelsa.net//storelocator/index/view/id/"&amp;Table1[[#This Row],[idTienda]],Table1[[#This Row],[idTienda]])</f>
        <v>35</v>
      </c>
      <c r="C54" t="str">
        <f>CONCATENATE(Table2[[#This Row],[idTienda]]&amp;"_matt")</f>
        <v>35_matt</v>
      </c>
      <c r="D54" t="s">
        <v>319</v>
      </c>
      <c r="E54" s="10">
        <f>Table1[[#This Row],[idCiudad]]</f>
        <v>26</v>
      </c>
      <c r="F54" t="s">
        <v>320</v>
      </c>
      <c r="G54" s="10" t="str">
        <f>Table1[[#This Row],[nombreCiudad]]</f>
        <v>Valledupar</v>
      </c>
      <c r="H54" t="s">
        <v>318</v>
      </c>
      <c r="I54" t="s">
        <v>346</v>
      </c>
    </row>
    <row r="55" spans="1:9" x14ac:dyDescent="0.2">
      <c r="A55" t="str">
        <f>Table1[[#This Row],[nombreTienda]]</f>
        <v>Villavicencio</v>
      </c>
      <c r="B55" s="12">
        <f>HYPERLINK("https://www.mattelsa.net//storelocator/index/view/id/"&amp;Table1[[#This Row],[idTienda]],Table1[[#This Row],[idTienda]])</f>
        <v>36</v>
      </c>
      <c r="C55" t="str">
        <f>CONCATENATE(Table2[[#This Row],[idTienda]]&amp;"_matt")</f>
        <v>36_matt</v>
      </c>
      <c r="D55" t="s">
        <v>319</v>
      </c>
      <c r="E55" s="10">
        <f>Table1[[#This Row],[idCiudad]]</f>
        <v>27</v>
      </c>
      <c r="F55" t="s">
        <v>320</v>
      </c>
      <c r="G55" s="10" t="str">
        <f>Table1[[#This Row],[nombreCiudad]]</f>
        <v>Villavicencio</v>
      </c>
      <c r="H55" t="s">
        <v>318</v>
      </c>
      <c r="I55" t="s">
        <v>347</v>
      </c>
    </row>
    <row r="56" spans="1:9" x14ac:dyDescent="0.2">
      <c r="E56" s="10"/>
      <c r="G56" s="1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Serna</dc:creator>
  <cp:lastModifiedBy>Camilo Serna</cp:lastModifiedBy>
  <dcterms:created xsi:type="dcterms:W3CDTF">2020-04-22T02:33:25Z</dcterms:created>
  <dcterms:modified xsi:type="dcterms:W3CDTF">2020-04-24T02:26:03Z</dcterms:modified>
</cp:coreProperties>
</file>